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AS" sheetId="1" state="visible" r:id="rId1"/>
    <sheet name="DETALLE M4" sheetId="2" state="visible" r:id="rId2"/>
    <sheet name="RESUMEN IE" sheetId="3" state="visible" r:id="rId3"/>
    <sheet name="RESUMEN ESPECIA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S/. 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10"/>
    </font>
    <font>
      <name val="Calibri"/>
      <i val="1"/>
      <color rgb="00000000"/>
      <sz val="10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043941"/>
      </patternFill>
    </fill>
    <fill>
      <patternFill patternType="solid">
        <fgColor rgb="000A7F8F"/>
      </patternFill>
    </fill>
    <fill>
      <patternFill patternType="solid">
        <fgColor rgb="00D0EFF4"/>
      </patternFill>
    </fill>
    <fill>
      <patternFill patternType="solid">
        <fgColor rgb="00FFFF99"/>
      </patternFill>
    </fill>
    <fill>
      <patternFill patternType="solid">
        <fgColor rgb="00E3F8FB"/>
      </patternFill>
    </fill>
    <fill>
      <patternFill patternType="solid">
        <fgColor rgb="00EAF7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2" fillId="2" borderId="1" pivotButton="0" quotePrefix="0" xfId="0"/>
    <xf numFmtId="164" fontId="2" fillId="2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18" customWidth="1" min="4" max="4"/>
    <col width="22" customWidth="1" min="5" max="5"/>
    <col width="22" customWidth="1" min="6" max="6"/>
  </cols>
  <sheetData>
    <row r="1" ht="28" customHeight="1">
      <c r="B1" s="1" t="inlineStr">
        <is>
          <t>PREMISAS DEL PLAN DE OPERACIONES — M4</t>
        </is>
      </c>
    </row>
    <row r="3">
      <c r="B3" s="2" t="inlineStr">
        <is>
          <t>TABLA 1 — PARÁMETROS DE TIEMPO</t>
        </is>
      </c>
    </row>
    <row r="4">
      <c r="B4" s="3" t="inlineStr">
        <is>
          <t>Parámetro</t>
        </is>
      </c>
      <c r="C4" s="3" t="inlineStr">
        <is>
          <t>Valor</t>
        </is>
      </c>
    </row>
    <row r="5">
      <c r="B5" s="4" t="inlineStr">
        <is>
          <t>Días capacitación presencial</t>
        </is>
      </c>
      <c r="C5" s="5" t="n">
        <v>8</v>
      </c>
    </row>
    <row r="6">
      <c r="B6" s="4" t="inlineStr">
        <is>
          <t>Horas por día</t>
        </is>
      </c>
      <c r="C6" s="5" t="n">
        <v>5</v>
      </c>
    </row>
    <row r="7">
      <c r="B7" s="4" t="inlineStr">
        <is>
          <t>Días preparación técnico lead</t>
        </is>
      </c>
      <c r="C7" s="5" t="n">
        <v>2</v>
      </c>
    </row>
    <row r="8">
      <c r="B8" s="4" t="inlineStr">
        <is>
          <t>Días viaje ida+vuelta</t>
        </is>
      </c>
      <c r="C8" s="5" t="n">
        <v>2</v>
      </c>
    </row>
    <row r="9">
      <c r="B9" s="4" t="inlineStr">
        <is>
          <t>HH/día facturables</t>
        </is>
      </c>
      <c r="C9" s="5" t="n">
        <v>8</v>
      </c>
    </row>
    <row r="10">
      <c r="B10" s="4" t="inlineStr">
        <is>
          <t>Noches hospedaje</t>
        </is>
      </c>
      <c r="C10" s="5" t="n">
        <v>9</v>
      </c>
    </row>
    <row r="11">
      <c r="B11" s="4" t="inlineStr">
        <is>
          <t>Total días facturables LEAD (cap+prep+viaje)</t>
        </is>
      </c>
      <c r="C11" s="6">
        <f>C5+C7+C8</f>
        <v/>
      </c>
    </row>
    <row r="12">
      <c r="B12" s="4" t="inlineStr">
        <is>
          <t>Total días facturables APOYO (cap+viaje)</t>
        </is>
      </c>
      <c r="C12" s="6">
        <f>C5+C8</f>
        <v/>
      </c>
    </row>
    <row r="14">
      <c r="B14" s="2" t="inlineStr">
        <is>
          <t>TABLA 2 — TARIFAS TÉCNICOS (S/. por hora)</t>
        </is>
      </c>
    </row>
    <row r="15">
      <c r="B15" s="3" t="inlineStr">
        <is>
          <t>Especialidad</t>
        </is>
      </c>
      <c r="C15" s="3" t="inlineStr">
        <is>
          <t>Tarifa Lead</t>
        </is>
      </c>
      <c r="D15" s="3" t="inlineStr">
        <is>
          <t>Tarifa Apoyo</t>
        </is>
      </c>
    </row>
    <row r="16">
      <c r="B16" s="7" t="inlineStr">
        <is>
          <t>Cocina y Repostería</t>
        </is>
      </c>
      <c r="C16" s="5" t="n">
        <v>25</v>
      </c>
      <c r="D16" s="5" t="n">
        <v>18</v>
      </c>
    </row>
    <row r="17">
      <c r="B17" s="8" t="inlineStr">
        <is>
          <t>Computación e Informática</t>
        </is>
      </c>
      <c r="C17" s="5" t="n">
        <v>22</v>
      </c>
      <c r="D17" s="5" t="n">
        <v>15</v>
      </c>
    </row>
    <row r="18">
      <c r="B18" s="7" t="inlineStr">
        <is>
          <t>Construcciones Metálicas</t>
        </is>
      </c>
      <c r="C18" s="5" t="n">
        <v>32</v>
      </c>
      <c r="D18" s="5" t="n">
        <v>23</v>
      </c>
    </row>
    <row r="19">
      <c r="B19" s="8" t="inlineStr">
        <is>
          <t>Ebanistería</t>
        </is>
      </c>
      <c r="C19" s="5" t="n">
        <v>28</v>
      </c>
      <c r="D19" s="5" t="n">
        <v>20</v>
      </c>
    </row>
    <row r="20">
      <c r="B20" s="7" t="inlineStr">
        <is>
          <t>Electricidad</t>
        </is>
      </c>
      <c r="C20" s="5" t="n">
        <v>28</v>
      </c>
      <c r="D20" s="5" t="n">
        <v>20</v>
      </c>
    </row>
    <row r="21">
      <c r="B21" s="8" t="inlineStr">
        <is>
          <t>Electrónica</t>
        </is>
      </c>
      <c r="C21" s="5" t="n">
        <v>32</v>
      </c>
      <c r="D21" s="5" t="n">
        <v>23</v>
      </c>
    </row>
    <row r="22">
      <c r="B22" s="7" t="inlineStr">
        <is>
          <t>Industria Alimentaria</t>
        </is>
      </c>
      <c r="C22" s="5" t="n">
        <v>22</v>
      </c>
      <c r="D22" s="5" t="n">
        <v>15</v>
      </c>
    </row>
    <row r="23">
      <c r="B23" s="8" t="inlineStr">
        <is>
          <t>Industria del Vestido</t>
        </is>
      </c>
      <c r="C23" s="5" t="n">
        <v>22</v>
      </c>
      <c r="D23" s="5" t="n">
        <v>15</v>
      </c>
    </row>
    <row r="24">
      <c r="B24" s="7" t="inlineStr">
        <is>
          <t>Mecánica Automotriz</t>
        </is>
      </c>
      <c r="C24" s="5" t="n">
        <v>32</v>
      </c>
      <c r="D24" s="5" t="n">
        <v>23</v>
      </c>
    </row>
    <row r="26">
      <c r="B26" s="2" t="inlineStr">
        <is>
          <t>TABLA 3 — VIÁTICOS Y TRANSPORTE DIARIO (por persona)</t>
        </is>
      </c>
    </row>
    <row r="27">
      <c r="B27" s="3" t="inlineStr">
        <is>
          <t>Grupo</t>
        </is>
      </c>
      <c r="C27" s="3" t="inlineStr">
        <is>
          <t>Descripción</t>
        </is>
      </c>
      <c r="D27" s="3" t="inlineStr">
        <is>
          <t>Viático/día</t>
        </is>
      </c>
      <c r="E27" s="3" t="inlineStr">
        <is>
          <t>Transp.interno/día</t>
        </is>
      </c>
      <c r="F27" s="3" t="inlineStr">
        <is>
          <t>Noche hospedaje</t>
        </is>
      </c>
    </row>
    <row r="28">
      <c r="B28" s="7" t="inlineStr">
        <is>
          <t>A</t>
        </is>
      </c>
      <c r="C28" s="7" t="inlineStr">
        <is>
          <t>Lima Metropolitana</t>
        </is>
      </c>
      <c r="D28" s="5" t="n">
        <v>60</v>
      </c>
      <c r="E28" s="5" t="n">
        <v>40</v>
      </c>
      <c r="F28" s="5" t="n">
        <v>0</v>
      </c>
    </row>
    <row r="29">
      <c r="B29" s="8" t="inlineStr">
        <is>
          <t>B</t>
        </is>
      </c>
      <c r="C29" s="8" t="inlineStr">
        <is>
          <t>Lima Provincia</t>
        </is>
      </c>
      <c r="D29" s="5" t="n">
        <v>120</v>
      </c>
      <c r="E29" s="5" t="n">
        <v>20</v>
      </c>
      <c r="F29" s="5" t="n">
        <v>120</v>
      </c>
    </row>
    <row r="30">
      <c r="B30" s="7" t="inlineStr">
        <is>
          <t>C</t>
        </is>
      </c>
      <c r="C30" s="7" t="inlineStr">
        <is>
          <t>Región lejana</t>
        </is>
      </c>
      <c r="D30" s="5" t="n">
        <v>160</v>
      </c>
      <c r="E30" s="5" t="n">
        <v>25</v>
      </c>
      <c r="F30" s="5" t="n">
        <v>100</v>
      </c>
    </row>
    <row r="32">
      <c r="B32" s="2" t="inlineStr">
        <is>
          <t>TABLA 4 — TRASLADO POR IE (por persona ida+vuelta)</t>
        </is>
      </c>
    </row>
    <row r="33">
      <c r="B33" s="3" t="inlineStr">
        <is>
          <t>IE Código</t>
        </is>
      </c>
      <c r="C33" s="3" t="inlineStr">
        <is>
          <t>IE Nombre</t>
        </is>
      </c>
      <c r="D33" s="3" t="inlineStr">
        <is>
          <t>Ruta</t>
        </is>
      </c>
      <c r="E33" s="3" t="inlineStr">
        <is>
          <t>Medio</t>
        </is>
      </c>
      <c r="F33" s="3" t="inlineStr">
        <is>
          <t>Costo S/.</t>
        </is>
      </c>
    </row>
    <row r="34">
      <c r="B34" s="7" t="inlineStr">
        <is>
          <t>IE1</t>
        </is>
      </c>
      <c r="C34" s="7" t="inlineStr">
        <is>
          <t>16449 Eloy Soberón Flores</t>
        </is>
      </c>
      <c r="D34" s="7" t="inlineStr">
        <is>
          <t>Lima–Jaén</t>
        </is>
      </c>
      <c r="E34" s="7" t="inlineStr">
        <is>
          <t>Vuelo</t>
        </is>
      </c>
      <c r="F34" s="5" t="n">
        <v>900</v>
      </c>
    </row>
    <row r="35">
      <c r="B35" s="8" t="inlineStr">
        <is>
          <t>IE2</t>
        </is>
      </c>
      <c r="C35" s="8" t="inlineStr">
        <is>
          <t>2026 Simón Bolívar</t>
        </is>
      </c>
      <c r="D35" s="8" t="inlineStr">
        <is>
          <t>Lima–Comas</t>
        </is>
      </c>
      <c r="E35" s="8" t="inlineStr">
        <is>
          <t>Propio</t>
        </is>
      </c>
      <c r="F35" s="5" t="n">
        <v>0</v>
      </c>
    </row>
    <row r="36">
      <c r="B36" s="7" t="inlineStr">
        <is>
          <t>IE3</t>
        </is>
      </c>
      <c r="C36" s="7" t="inlineStr">
        <is>
          <t>6049 Ricardo Palma</t>
        </is>
      </c>
      <c r="D36" s="7" t="inlineStr">
        <is>
          <t>Lima–Surquillo</t>
        </is>
      </c>
      <c r="E36" s="7" t="inlineStr">
        <is>
          <t>Propio</t>
        </is>
      </c>
      <c r="F36" s="5" t="n">
        <v>0</v>
      </c>
    </row>
    <row r="37">
      <c r="B37" s="8" t="inlineStr">
        <is>
          <t>IE4</t>
        </is>
      </c>
      <c r="C37" s="8" t="inlineStr">
        <is>
          <t>Francisco Irazola</t>
        </is>
      </c>
      <c r="D37" s="8" t="inlineStr">
        <is>
          <t>Lima–Satipo</t>
        </is>
      </c>
      <c r="E37" s="8" t="inlineStr">
        <is>
          <t>Bus/Van</t>
        </is>
      </c>
      <c r="F37" s="5" t="n">
        <v>180</v>
      </c>
    </row>
    <row r="38">
      <c r="B38" s="7" t="inlineStr">
        <is>
          <t>IE5</t>
        </is>
      </c>
      <c r="C38" s="7" t="inlineStr">
        <is>
          <t>Guillermo E. Billinghurst</t>
        </is>
      </c>
      <c r="D38" s="7" t="inlineStr">
        <is>
          <t>Lima–Barranca</t>
        </is>
      </c>
      <c r="E38" s="7" t="inlineStr">
        <is>
          <t>Bus</t>
        </is>
      </c>
      <c r="F38" s="5" t="n">
        <v>60</v>
      </c>
    </row>
    <row r="39">
      <c r="B39" s="8" t="inlineStr">
        <is>
          <t>IE6</t>
        </is>
      </c>
      <c r="C39" s="8" t="inlineStr">
        <is>
          <t>José Granda</t>
        </is>
      </c>
      <c r="D39" s="8" t="inlineStr">
        <is>
          <t>Lima–SMP</t>
        </is>
      </c>
      <c r="E39" s="8" t="inlineStr">
        <is>
          <t>Propio</t>
        </is>
      </c>
      <c r="F39" s="5" t="n">
        <v>0</v>
      </c>
    </row>
    <row r="40">
      <c r="B40" s="7" t="inlineStr">
        <is>
          <t>IE7</t>
        </is>
      </c>
      <c r="C40" s="7" t="inlineStr">
        <is>
          <t>Manuel A. Mesones Muro</t>
        </is>
      </c>
      <c r="D40" s="7" t="inlineStr">
        <is>
          <t>Lima–Tarapoto+Bus</t>
        </is>
      </c>
      <c r="E40" s="7" t="inlineStr">
        <is>
          <t>Vuelo+Bus</t>
        </is>
      </c>
      <c r="F40" s="5" t="n">
        <v>750</v>
      </c>
    </row>
    <row r="42">
      <c r="B42" s="2" t="inlineStr">
        <is>
          <t>TABLA 5 — CONSUMIBLES POR ESPECIALIDAD (por taller)</t>
        </is>
      </c>
    </row>
    <row r="43">
      <c r="B43" s="3" t="inlineStr">
        <is>
          <t>Especialidad</t>
        </is>
      </c>
      <c r="C43" s="3" t="inlineStr">
        <is>
          <t>Consumibles S/.</t>
        </is>
      </c>
    </row>
    <row r="44">
      <c r="B44" s="7" t="inlineStr">
        <is>
          <t>Cocina y Repostería</t>
        </is>
      </c>
      <c r="C44" s="5" t="n">
        <v>800</v>
      </c>
    </row>
    <row r="45">
      <c r="B45" s="8" t="inlineStr">
        <is>
          <t>Computación e Informática</t>
        </is>
      </c>
      <c r="C45" s="5" t="n">
        <v>200</v>
      </c>
    </row>
    <row r="46">
      <c r="B46" s="7" t="inlineStr">
        <is>
          <t>Construcciones Metálicas</t>
        </is>
      </c>
      <c r="C46" s="5" t="n">
        <v>900</v>
      </c>
    </row>
    <row r="47">
      <c r="B47" s="8" t="inlineStr">
        <is>
          <t>Ebanistería</t>
        </is>
      </c>
      <c r="C47" s="5" t="n">
        <v>700</v>
      </c>
    </row>
    <row r="48">
      <c r="B48" s="7" t="inlineStr">
        <is>
          <t>Electricidad</t>
        </is>
      </c>
      <c r="C48" s="5" t="n">
        <v>500</v>
      </c>
    </row>
    <row r="49">
      <c r="B49" s="8" t="inlineStr">
        <is>
          <t>Electrónica</t>
        </is>
      </c>
      <c r="C49" s="5" t="n">
        <v>600</v>
      </c>
    </row>
    <row r="50">
      <c r="B50" s="7" t="inlineStr">
        <is>
          <t>Industria Alimentaria</t>
        </is>
      </c>
      <c r="C50" s="5" t="n">
        <v>500</v>
      </c>
    </row>
    <row r="51">
      <c r="B51" s="8" t="inlineStr">
        <is>
          <t>Industria del Vestido</t>
        </is>
      </c>
      <c r="C51" s="5" t="n">
        <v>350</v>
      </c>
    </row>
    <row r="52">
      <c r="B52" s="7" t="inlineStr">
        <is>
          <t>Mecánica Automotriz</t>
        </is>
      </c>
      <c r="C52" s="5" t="n">
        <v>800</v>
      </c>
    </row>
    <row r="54">
      <c r="B54" s="2" t="inlineStr">
        <is>
          <t>TABLA 6 — OTROS</t>
        </is>
      </c>
    </row>
    <row r="55">
      <c r="B55" s="3" t="inlineStr">
        <is>
          <t>Concepto</t>
        </is>
      </c>
      <c r="C55" s="3" t="inlineStr">
        <is>
          <t>Monto S/.</t>
        </is>
      </c>
    </row>
    <row r="56">
      <c r="B56" s="4" t="inlineStr">
        <is>
          <t>Materiales didácticos por taller</t>
        </is>
      </c>
      <c r="C56" s="5" t="n">
        <v>150</v>
      </c>
    </row>
    <row r="57">
      <c r="B57" s="4" t="inlineStr">
        <is>
          <t>Seguro de viaje por técnico (solo Grupo C)</t>
        </is>
      </c>
      <c r="C57" s="5" t="n">
        <v>80</v>
      </c>
    </row>
  </sheetData>
  <mergeCells count="7">
    <mergeCell ref="B26:E26"/>
    <mergeCell ref="B3:D3"/>
    <mergeCell ref="B54:C54"/>
    <mergeCell ref="B14:D14"/>
    <mergeCell ref="B42:C42"/>
    <mergeCell ref="B1:F1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7" customWidth="1" min="4" max="4"/>
    <col width="30" customWidth="1" min="5" max="5"/>
    <col width="7" customWidth="1" min="6" max="6"/>
    <col width="28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2" customWidth="1" min="13" max="13"/>
    <col width="12" customWidth="1" min="14" max="14"/>
    <col width="14" customWidth="1" min="15" max="15"/>
    <col width="14" customWidth="1" min="16" max="16"/>
    <col width="15" customWidth="1" min="17" max="17"/>
    <col width="12" customWidth="1" min="18" max="18"/>
    <col width="10" customWidth="1" min="19" max="19"/>
    <col width="16" customWidth="1" min="20" max="20"/>
    <col width="12" customWidth="1" min="21" max="21"/>
    <col width="16" customWidth="1" min="22" max="22"/>
    <col width="16" customWidth="1" min="23" max="23"/>
    <col width="16" customWidth="1" min="24" max="24"/>
    <col width="14" customWidth="1" min="25" max="25"/>
    <col width="8" customWidth="1" min="26" max="26"/>
    <col width="16" customWidth="1" min="27" max="27"/>
    <col width="14" customWidth="1" min="28" max="28"/>
    <col width="14" customWidth="1" min="29" max="29"/>
    <col width="18" customWidth="1" min="30" max="30"/>
  </cols>
  <sheetData>
    <row r="1" ht="28" customHeight="1">
      <c r="A1" s="1" t="inlineStr">
        <is>
          <t>PLAN DE OPERACIONES M4 — DETALLE DE TALLERES</t>
        </is>
      </c>
    </row>
    <row r="2">
      <c r="A2" s="2" t="inlineStr">
        <is>
          <t>IDENTIFICACIÓN</t>
        </is>
      </c>
      <c r="I2" s="2" t="inlineStr">
        <is>
          <t>TÉCNICOS</t>
        </is>
      </c>
      <c r="M2" s="2" t="inlineStr">
        <is>
          <t>COSTO LABORAL</t>
        </is>
      </c>
      <c r="R2" s="2" t="inlineStr">
        <is>
          <t>VIÁTICOS</t>
        </is>
      </c>
      <c r="U2" s="2" t="inlineStr">
        <is>
          <t>TRANSPORTE INTERNO</t>
        </is>
      </c>
      <c r="W2" s="2" t="inlineStr">
        <is>
          <t>TRASLADO</t>
        </is>
      </c>
      <c r="Y2" s="2" t="inlineStr">
        <is>
          <t>HOSPEDAJE</t>
        </is>
      </c>
      <c r="AB2" s="2" t="inlineStr">
        <is>
          <t>MATERIALES</t>
        </is>
      </c>
      <c r="AD2" s="2" t="inlineStr">
        <is>
          <t>TOTAL</t>
        </is>
      </c>
    </row>
    <row r="3" ht="36" customHeight="1">
      <c r="A3" s="3" t="inlineStr">
        <is>
          <t>N°</t>
        </is>
      </c>
      <c r="B3" s="3" t="inlineStr">
        <is>
          <t>Código</t>
        </is>
      </c>
      <c r="C3" s="3" t="inlineStr">
        <is>
          <t>IE Nombre</t>
        </is>
      </c>
      <c r="D3" s="3" t="inlineStr">
        <is>
          <t>IE Cód</t>
        </is>
      </c>
      <c r="E3" s="3" t="inlineStr">
        <is>
          <t>Ubicación</t>
        </is>
      </c>
      <c r="F3" s="3" t="inlineStr">
        <is>
          <t>Grupo</t>
        </is>
      </c>
      <c r="G3" s="3" t="inlineStr">
        <is>
          <t>Especialidad</t>
        </is>
      </c>
      <c r="H3" s="3" t="inlineStr">
        <is>
          <t>Apoyo
Téc.</t>
        </is>
      </c>
      <c r="I3" s="3" t="inlineStr">
        <is>
          <t>Personas</t>
        </is>
      </c>
      <c r="J3" s="3" t="inlineStr">
        <is>
          <t>Días
Lead</t>
        </is>
      </c>
      <c r="K3" s="3" t="inlineStr">
        <is>
          <t>Días
Apoyo</t>
        </is>
      </c>
      <c r="L3" s="3" t="inlineStr">
        <is>
          <t>HH/día</t>
        </is>
      </c>
      <c r="M3" s="3" t="inlineStr">
        <is>
          <t>Tarifa
Lead</t>
        </is>
      </c>
      <c r="N3" s="3" t="inlineStr">
        <is>
          <t>Tarifa
Apoyo</t>
        </is>
      </c>
      <c r="O3" s="3" t="inlineStr">
        <is>
          <t>Costo
Lead</t>
        </is>
      </c>
      <c r="P3" s="3" t="inlineStr">
        <is>
          <t>Costo
Apoyo</t>
        </is>
      </c>
      <c r="Q3" s="3" t="inlineStr">
        <is>
          <t>SUB
LABORAL</t>
        </is>
      </c>
      <c r="R3" s="3" t="inlineStr">
        <is>
          <t>Viático
/día</t>
        </is>
      </c>
      <c r="S3" s="3" t="inlineStr">
        <is>
          <t>Días
Viático</t>
        </is>
      </c>
      <c r="T3" s="3" t="inlineStr">
        <is>
          <t>COSTO
VIÁTICOS</t>
        </is>
      </c>
      <c r="U3" s="3" t="inlineStr">
        <is>
          <t>Transp
/día</t>
        </is>
      </c>
      <c r="V3" s="3" t="inlineStr">
        <is>
          <t>COSTO
TRANSP</t>
        </is>
      </c>
      <c r="W3" s="3" t="inlineStr">
        <is>
          <t>Traslado
/pers</t>
        </is>
      </c>
      <c r="X3" s="3" t="inlineStr">
        <is>
          <t>COSTO
TRASLADO</t>
        </is>
      </c>
      <c r="Y3" s="3" t="inlineStr">
        <is>
          <t>Noche
Hosp</t>
        </is>
      </c>
      <c r="Z3" s="3" t="inlineStr">
        <is>
          <t>Noches</t>
        </is>
      </c>
      <c r="AA3" s="3" t="inlineStr">
        <is>
          <t>COSTO
HOSPEDAJE</t>
        </is>
      </c>
      <c r="AB3" s="3" t="inlineStr">
        <is>
          <t>Consumibles</t>
        </is>
      </c>
      <c r="AC3" s="3" t="inlineStr">
        <is>
          <t>Mat.
Didáct.</t>
        </is>
      </c>
      <c r="AD3" s="3" t="inlineStr">
        <is>
          <t>TOTAL</t>
        </is>
      </c>
    </row>
    <row r="4">
      <c r="A4" s="9" t="n">
        <v>1</v>
      </c>
      <c r="B4" s="10" t="inlineStr">
        <is>
          <t>T-COCINA-01</t>
        </is>
      </c>
      <c r="C4" s="10" t="inlineStr">
        <is>
          <t>16449 Eloy Soberón Flores</t>
        </is>
      </c>
      <c r="D4" s="10" t="inlineStr">
        <is>
          <t>IE1</t>
        </is>
      </c>
      <c r="E4" s="10" t="inlineStr">
        <is>
          <t>Cajamarca – San Ignacio</t>
        </is>
      </c>
      <c r="F4" s="9" t="inlineStr">
        <is>
          <t>C</t>
        </is>
      </c>
      <c r="G4" s="10" t="inlineStr">
        <is>
          <t>Cocina y Repostería</t>
        </is>
      </c>
      <c r="H4" s="9" t="inlineStr">
        <is>
          <t>NO</t>
        </is>
      </c>
      <c r="I4" s="9">
        <f>IF(H4="SI",2,1)</f>
        <v/>
      </c>
      <c r="J4" s="9">
        <f>PREMISAS!C11</f>
        <v/>
      </c>
      <c r="K4" s="9">
        <f>PREMISAS!C12</f>
        <v/>
      </c>
      <c r="L4" s="9">
        <f>PREMISAS!C9</f>
        <v/>
      </c>
      <c r="M4" s="11">
        <f>VLOOKUP(G4,PREMISAS!$B$16:$D$24,2,0)</f>
        <v/>
      </c>
      <c r="N4" s="11">
        <f>VLOOKUP(G4,PREMISAS!$B$16:$D$24,3,0)</f>
        <v/>
      </c>
      <c r="O4" s="11">
        <f>J4*L4*M4</f>
        <v/>
      </c>
      <c r="P4" s="11">
        <f>IF(H4="SI",K4*L4*N4,0)</f>
        <v/>
      </c>
      <c r="Q4" s="12">
        <f>O4+P4</f>
        <v/>
      </c>
      <c r="R4" s="11">
        <f>VLOOKUP(F4,PREMISAS!$B$28:$F$30,3,0)</f>
        <v/>
      </c>
      <c r="S4" s="9">
        <f>PREMISAS!C5+PREMISAS!C8</f>
        <v/>
      </c>
      <c r="T4" s="11">
        <f>R4*S4*I4</f>
        <v/>
      </c>
      <c r="U4" s="11">
        <f>VLOOKUP(F4,PREMISAS!$B$28:$F$30,4,0)</f>
        <v/>
      </c>
      <c r="V4" s="11">
        <f>U4*PREMISAS!C5*I4</f>
        <v/>
      </c>
      <c r="W4" s="11">
        <f>VLOOKUP(D4,PREMISAS!$B$34:$F$40,5,0)</f>
        <v/>
      </c>
      <c r="X4" s="11">
        <f>W4*I4</f>
        <v/>
      </c>
      <c r="Y4" s="11">
        <f>VLOOKUP(F4,PREMISAS!$B$28:$F$30,5,0)</f>
        <v/>
      </c>
      <c r="Z4" s="9">
        <f>PREMISAS!C10</f>
        <v/>
      </c>
      <c r="AA4" s="11">
        <f>Y4*Z4*I4</f>
        <v/>
      </c>
      <c r="AB4" s="11">
        <f>VLOOKUP(G4,PREMISAS!$B$44:$C$52,2,0)</f>
        <v/>
      </c>
      <c r="AC4" s="11">
        <f>PREMISAS!C56</f>
        <v/>
      </c>
      <c r="AD4" s="12">
        <f>Q4+T4+V4+X4+AA4+AB4+AC4+IF(F4="C",I4*PREMISAS!C57,0)</f>
        <v/>
      </c>
    </row>
    <row r="5">
      <c r="A5" s="13" t="n">
        <v>2</v>
      </c>
      <c r="B5" s="14" t="inlineStr">
        <is>
          <t>T-COMP-02</t>
        </is>
      </c>
      <c r="C5" s="14" t="inlineStr">
        <is>
          <t>2026 Simón Bolívar</t>
        </is>
      </c>
      <c r="D5" s="14" t="inlineStr">
        <is>
          <t>IE2</t>
        </is>
      </c>
      <c r="E5" s="14" t="inlineStr">
        <is>
          <t>Lima Metropolitana – Comas</t>
        </is>
      </c>
      <c r="F5" s="13" t="inlineStr">
        <is>
          <t>A</t>
        </is>
      </c>
      <c r="G5" s="14" t="inlineStr">
        <is>
          <t>Computación e Informática</t>
        </is>
      </c>
      <c r="H5" s="13" t="inlineStr">
        <is>
          <t>NO</t>
        </is>
      </c>
      <c r="I5" s="13">
        <f>IF(H5="SI",2,1)</f>
        <v/>
      </c>
      <c r="J5" s="13">
        <f>PREMISAS!C11</f>
        <v/>
      </c>
      <c r="K5" s="13">
        <f>PREMISAS!C12</f>
        <v/>
      </c>
      <c r="L5" s="13">
        <f>PREMISAS!C9</f>
        <v/>
      </c>
      <c r="M5" s="15">
        <f>VLOOKUP(G5,PREMISAS!$B$16:$D$24,2,0)</f>
        <v/>
      </c>
      <c r="N5" s="15">
        <f>VLOOKUP(G5,PREMISAS!$B$16:$D$24,3,0)</f>
        <v/>
      </c>
      <c r="O5" s="15">
        <f>J5*L5*M5</f>
        <v/>
      </c>
      <c r="P5" s="15">
        <f>IF(H5="SI",K5*L5*N5,0)</f>
        <v/>
      </c>
      <c r="Q5" s="16">
        <f>O5+P5</f>
        <v/>
      </c>
      <c r="R5" s="15">
        <f>VLOOKUP(F5,PREMISAS!$B$28:$F$30,3,0)</f>
        <v/>
      </c>
      <c r="S5" s="13">
        <f>PREMISAS!C5+PREMISAS!C8</f>
        <v/>
      </c>
      <c r="T5" s="15">
        <f>R5*S5*I5</f>
        <v/>
      </c>
      <c r="U5" s="15">
        <f>VLOOKUP(F5,PREMISAS!$B$28:$F$30,4,0)</f>
        <v/>
      </c>
      <c r="V5" s="15">
        <f>U5*PREMISAS!C5*I5</f>
        <v/>
      </c>
      <c r="W5" s="15">
        <f>VLOOKUP(D5,PREMISAS!$B$34:$F$40,5,0)</f>
        <v/>
      </c>
      <c r="X5" s="15">
        <f>W5*I5</f>
        <v/>
      </c>
      <c r="Y5" s="15">
        <f>VLOOKUP(F5,PREMISAS!$B$28:$F$30,5,0)</f>
        <v/>
      </c>
      <c r="Z5" s="13">
        <f>PREMISAS!C10</f>
        <v/>
      </c>
      <c r="AA5" s="15">
        <f>Y5*Z5*I5</f>
        <v/>
      </c>
      <c r="AB5" s="15">
        <f>VLOOKUP(G5,PREMISAS!$B$44:$C$52,2,0)</f>
        <v/>
      </c>
      <c r="AC5" s="15">
        <f>PREMISAS!C56</f>
        <v/>
      </c>
      <c r="AD5" s="16">
        <f>Q5+T5+V5+X5+AA5+AB5+AC5+IF(F5="C",I5*PREMISAS!C57,0)</f>
        <v/>
      </c>
    </row>
    <row r="6">
      <c r="A6" s="9" t="n">
        <v>3</v>
      </c>
      <c r="B6" s="10" t="inlineStr">
        <is>
          <t>T-ELEC-02</t>
        </is>
      </c>
      <c r="C6" s="10" t="inlineStr">
        <is>
          <t>2026 Simón Bolívar</t>
        </is>
      </c>
      <c r="D6" s="10" t="inlineStr">
        <is>
          <t>IE2</t>
        </is>
      </c>
      <c r="E6" s="10" t="inlineStr">
        <is>
          <t>Lima Metropolitana – Comas</t>
        </is>
      </c>
      <c r="F6" s="9" t="inlineStr">
        <is>
          <t>A</t>
        </is>
      </c>
      <c r="G6" s="10" t="inlineStr">
        <is>
          <t>Electricidad</t>
        </is>
      </c>
      <c r="H6" s="9" t="inlineStr">
        <is>
          <t>SI</t>
        </is>
      </c>
      <c r="I6" s="9">
        <f>IF(H6="SI",2,1)</f>
        <v/>
      </c>
      <c r="J6" s="9">
        <f>PREMISAS!C11</f>
        <v/>
      </c>
      <c r="K6" s="9">
        <f>PREMISAS!C12</f>
        <v/>
      </c>
      <c r="L6" s="9">
        <f>PREMISAS!C9</f>
        <v/>
      </c>
      <c r="M6" s="11">
        <f>VLOOKUP(G6,PREMISAS!$B$16:$D$24,2,0)</f>
        <v/>
      </c>
      <c r="N6" s="11">
        <f>VLOOKUP(G6,PREMISAS!$B$16:$D$24,3,0)</f>
        <v/>
      </c>
      <c r="O6" s="11">
        <f>J6*L6*M6</f>
        <v/>
      </c>
      <c r="P6" s="11">
        <f>IF(H6="SI",K6*L6*N6,0)</f>
        <v/>
      </c>
      <c r="Q6" s="12">
        <f>O6+P6</f>
        <v/>
      </c>
      <c r="R6" s="11">
        <f>VLOOKUP(F6,PREMISAS!$B$28:$F$30,3,0)</f>
        <v/>
      </c>
      <c r="S6" s="9">
        <f>PREMISAS!C5+PREMISAS!C8</f>
        <v/>
      </c>
      <c r="T6" s="11">
        <f>R6*S6*I6</f>
        <v/>
      </c>
      <c r="U6" s="11">
        <f>VLOOKUP(F6,PREMISAS!$B$28:$F$30,4,0)</f>
        <v/>
      </c>
      <c r="V6" s="11">
        <f>U6*PREMISAS!C5*I6</f>
        <v/>
      </c>
      <c r="W6" s="11">
        <f>VLOOKUP(D6,PREMISAS!$B$34:$F$40,5,0)</f>
        <v/>
      </c>
      <c r="X6" s="11">
        <f>W6*I6</f>
        <v/>
      </c>
      <c r="Y6" s="11">
        <f>VLOOKUP(F6,PREMISAS!$B$28:$F$30,5,0)</f>
        <v/>
      </c>
      <c r="Z6" s="9">
        <f>PREMISAS!C10</f>
        <v/>
      </c>
      <c r="AA6" s="11">
        <f>Y6*Z6*I6</f>
        <v/>
      </c>
      <c r="AB6" s="11">
        <f>VLOOKUP(G6,PREMISAS!$B$44:$C$52,2,0)</f>
        <v/>
      </c>
      <c r="AC6" s="11">
        <f>PREMISAS!C56</f>
        <v/>
      </c>
      <c r="AD6" s="12">
        <f>Q6+T6+V6+X6+AA6+AB6+AC6+IF(F6="C",I6*PREMISAS!C57,0)</f>
        <v/>
      </c>
    </row>
    <row r="7">
      <c r="A7" s="13" t="n">
        <v>4</v>
      </c>
      <c r="B7" s="14" t="inlineStr">
        <is>
          <t>T-INDUS.A-02</t>
        </is>
      </c>
      <c r="C7" s="14" t="inlineStr">
        <is>
          <t>2026 Simón Bolívar</t>
        </is>
      </c>
      <c r="D7" s="14" t="inlineStr">
        <is>
          <t>IE2</t>
        </is>
      </c>
      <c r="E7" s="14" t="inlineStr">
        <is>
          <t>Lima Metropolitana – Comas</t>
        </is>
      </c>
      <c r="F7" s="13" t="inlineStr">
        <is>
          <t>A</t>
        </is>
      </c>
      <c r="G7" s="14" t="inlineStr">
        <is>
          <t>Industria Alimentaria</t>
        </is>
      </c>
      <c r="H7" s="13" t="inlineStr">
        <is>
          <t>NO</t>
        </is>
      </c>
      <c r="I7" s="13">
        <f>IF(H7="SI",2,1)</f>
        <v/>
      </c>
      <c r="J7" s="13">
        <f>PREMISAS!C11</f>
        <v/>
      </c>
      <c r="K7" s="13">
        <f>PREMISAS!C12</f>
        <v/>
      </c>
      <c r="L7" s="13">
        <f>PREMISAS!C9</f>
        <v/>
      </c>
      <c r="M7" s="15">
        <f>VLOOKUP(G7,PREMISAS!$B$16:$D$24,2,0)</f>
        <v/>
      </c>
      <c r="N7" s="15">
        <f>VLOOKUP(G7,PREMISAS!$B$16:$D$24,3,0)</f>
        <v/>
      </c>
      <c r="O7" s="15">
        <f>J7*L7*M7</f>
        <v/>
      </c>
      <c r="P7" s="15">
        <f>IF(H7="SI",K7*L7*N7,0)</f>
        <v/>
      </c>
      <c r="Q7" s="16">
        <f>O7+P7</f>
        <v/>
      </c>
      <c r="R7" s="15">
        <f>VLOOKUP(F7,PREMISAS!$B$28:$F$30,3,0)</f>
        <v/>
      </c>
      <c r="S7" s="13">
        <f>PREMISAS!C5+PREMISAS!C8</f>
        <v/>
      </c>
      <c r="T7" s="15">
        <f>R7*S7*I7</f>
        <v/>
      </c>
      <c r="U7" s="15">
        <f>VLOOKUP(F7,PREMISAS!$B$28:$F$30,4,0)</f>
        <v/>
      </c>
      <c r="V7" s="15">
        <f>U7*PREMISAS!C5*I7</f>
        <v/>
      </c>
      <c r="W7" s="15">
        <f>VLOOKUP(D7,PREMISAS!$B$34:$F$40,5,0)</f>
        <v/>
      </c>
      <c r="X7" s="15">
        <f>W7*I7</f>
        <v/>
      </c>
      <c r="Y7" s="15">
        <f>VLOOKUP(F7,PREMISAS!$B$28:$F$30,5,0)</f>
        <v/>
      </c>
      <c r="Z7" s="13">
        <f>PREMISAS!C10</f>
        <v/>
      </c>
      <c r="AA7" s="15">
        <f>Y7*Z7*I7</f>
        <v/>
      </c>
      <c r="AB7" s="15">
        <f>VLOOKUP(G7,PREMISAS!$B$44:$C$52,2,0)</f>
        <v/>
      </c>
      <c r="AC7" s="15">
        <f>PREMISAS!C56</f>
        <v/>
      </c>
      <c r="AD7" s="16">
        <f>Q7+T7+V7+X7+AA7+AB7+AC7+IF(F7="C",I7*PREMISAS!C57,0)</f>
        <v/>
      </c>
    </row>
    <row r="8">
      <c r="A8" s="9" t="n">
        <v>5</v>
      </c>
      <c r="B8" s="10" t="inlineStr">
        <is>
          <t>T-INDUS.V-02</t>
        </is>
      </c>
      <c r="C8" s="10" t="inlineStr">
        <is>
          <t>2026 Simón Bolívar</t>
        </is>
      </c>
      <c r="D8" s="10" t="inlineStr">
        <is>
          <t>IE2</t>
        </is>
      </c>
      <c r="E8" s="10" t="inlineStr">
        <is>
          <t>Lima Metropolitana – Comas</t>
        </is>
      </c>
      <c r="F8" s="9" t="inlineStr">
        <is>
          <t>A</t>
        </is>
      </c>
      <c r="G8" s="10" t="inlineStr">
        <is>
          <t>Industria del Vestido</t>
        </is>
      </c>
      <c r="H8" s="9" t="inlineStr">
        <is>
          <t>NO</t>
        </is>
      </c>
      <c r="I8" s="9">
        <f>IF(H8="SI",2,1)</f>
        <v/>
      </c>
      <c r="J8" s="9">
        <f>PREMISAS!C11</f>
        <v/>
      </c>
      <c r="K8" s="9">
        <f>PREMISAS!C12</f>
        <v/>
      </c>
      <c r="L8" s="9">
        <f>PREMISAS!C9</f>
        <v/>
      </c>
      <c r="M8" s="11">
        <f>VLOOKUP(G8,PREMISAS!$B$16:$D$24,2,0)</f>
        <v/>
      </c>
      <c r="N8" s="11">
        <f>VLOOKUP(G8,PREMISAS!$B$16:$D$24,3,0)</f>
        <v/>
      </c>
      <c r="O8" s="11">
        <f>J8*L8*M8</f>
        <v/>
      </c>
      <c r="P8" s="11">
        <f>IF(H8="SI",K8*L8*N8,0)</f>
        <v/>
      </c>
      <c r="Q8" s="12">
        <f>O8+P8</f>
        <v/>
      </c>
      <c r="R8" s="11">
        <f>VLOOKUP(F8,PREMISAS!$B$28:$F$30,3,0)</f>
        <v/>
      </c>
      <c r="S8" s="9">
        <f>PREMISAS!C5+PREMISAS!C8</f>
        <v/>
      </c>
      <c r="T8" s="11">
        <f>R8*S8*I8</f>
        <v/>
      </c>
      <c r="U8" s="11">
        <f>VLOOKUP(F8,PREMISAS!$B$28:$F$30,4,0)</f>
        <v/>
      </c>
      <c r="V8" s="11">
        <f>U8*PREMISAS!C5*I8</f>
        <v/>
      </c>
      <c r="W8" s="11">
        <f>VLOOKUP(D8,PREMISAS!$B$34:$F$40,5,0)</f>
        <v/>
      </c>
      <c r="X8" s="11">
        <f>W8*I8</f>
        <v/>
      </c>
      <c r="Y8" s="11">
        <f>VLOOKUP(F8,PREMISAS!$B$28:$F$30,5,0)</f>
        <v/>
      </c>
      <c r="Z8" s="9">
        <f>PREMISAS!C10</f>
        <v/>
      </c>
      <c r="AA8" s="11">
        <f>Y8*Z8*I8</f>
        <v/>
      </c>
      <c r="AB8" s="11">
        <f>VLOOKUP(G8,PREMISAS!$B$44:$C$52,2,0)</f>
        <v/>
      </c>
      <c r="AC8" s="11">
        <f>PREMISAS!C56</f>
        <v/>
      </c>
      <c r="AD8" s="12">
        <f>Q8+T8+V8+X8+AA8+AB8+AC8+IF(F8="C",I8*PREMISAS!C57,0)</f>
        <v/>
      </c>
    </row>
    <row r="9">
      <c r="A9" s="13" t="n">
        <v>6</v>
      </c>
      <c r="B9" s="14" t="inlineStr">
        <is>
          <t>T-COMP-03</t>
        </is>
      </c>
      <c r="C9" s="14" t="inlineStr">
        <is>
          <t>6049 Ricardo Palma</t>
        </is>
      </c>
      <c r="D9" s="14" t="inlineStr">
        <is>
          <t>IE3</t>
        </is>
      </c>
      <c r="E9" s="14" t="inlineStr">
        <is>
          <t>Lima Metropolitana – Surquillo</t>
        </is>
      </c>
      <c r="F9" s="13" t="inlineStr">
        <is>
          <t>A</t>
        </is>
      </c>
      <c r="G9" s="14" t="inlineStr">
        <is>
          <t>Computación e Informática</t>
        </is>
      </c>
      <c r="H9" s="13" t="inlineStr">
        <is>
          <t>NO</t>
        </is>
      </c>
      <c r="I9" s="13">
        <f>IF(H9="SI",2,1)</f>
        <v/>
      </c>
      <c r="J9" s="13">
        <f>PREMISAS!C11</f>
        <v/>
      </c>
      <c r="K9" s="13">
        <f>PREMISAS!C12</f>
        <v/>
      </c>
      <c r="L9" s="13">
        <f>PREMISAS!C9</f>
        <v/>
      </c>
      <c r="M9" s="15">
        <f>VLOOKUP(G9,PREMISAS!$B$16:$D$24,2,0)</f>
        <v/>
      </c>
      <c r="N9" s="15">
        <f>VLOOKUP(G9,PREMISAS!$B$16:$D$24,3,0)</f>
        <v/>
      </c>
      <c r="O9" s="15">
        <f>J9*L9*M9</f>
        <v/>
      </c>
      <c r="P9" s="15">
        <f>IF(H9="SI",K9*L9*N9,0)</f>
        <v/>
      </c>
      <c r="Q9" s="16">
        <f>O9+P9</f>
        <v/>
      </c>
      <c r="R9" s="15">
        <f>VLOOKUP(F9,PREMISAS!$B$28:$F$30,3,0)</f>
        <v/>
      </c>
      <c r="S9" s="13">
        <f>PREMISAS!C5+PREMISAS!C8</f>
        <v/>
      </c>
      <c r="T9" s="15">
        <f>R9*S9*I9</f>
        <v/>
      </c>
      <c r="U9" s="15">
        <f>VLOOKUP(F9,PREMISAS!$B$28:$F$30,4,0)</f>
        <v/>
      </c>
      <c r="V9" s="15">
        <f>U9*PREMISAS!C5*I9</f>
        <v/>
      </c>
      <c r="W9" s="15">
        <f>VLOOKUP(D9,PREMISAS!$B$34:$F$40,5,0)</f>
        <v/>
      </c>
      <c r="X9" s="15">
        <f>W9*I9</f>
        <v/>
      </c>
      <c r="Y9" s="15">
        <f>VLOOKUP(F9,PREMISAS!$B$28:$F$30,5,0)</f>
        <v/>
      </c>
      <c r="Z9" s="13">
        <f>PREMISAS!C10</f>
        <v/>
      </c>
      <c r="AA9" s="15">
        <f>Y9*Z9*I9</f>
        <v/>
      </c>
      <c r="AB9" s="15">
        <f>VLOOKUP(G9,PREMISAS!$B$44:$C$52,2,0)</f>
        <v/>
      </c>
      <c r="AC9" s="15">
        <f>PREMISAS!C56</f>
        <v/>
      </c>
      <c r="AD9" s="16">
        <f>Q9+T9+V9+X9+AA9+AB9+AC9+IF(F9="C",I9*PREMISAS!C57,0)</f>
        <v/>
      </c>
    </row>
    <row r="10">
      <c r="A10" s="9" t="n">
        <v>7</v>
      </c>
      <c r="B10" s="10" t="inlineStr">
        <is>
          <t>T-ELECTRO-03</t>
        </is>
      </c>
      <c r="C10" s="10" t="inlineStr">
        <is>
          <t>6049 Ricardo Palma</t>
        </is>
      </c>
      <c r="D10" s="10" t="inlineStr">
        <is>
          <t>IE3</t>
        </is>
      </c>
      <c r="E10" s="10" t="inlineStr">
        <is>
          <t>Lima Metropolitana – Surquillo</t>
        </is>
      </c>
      <c r="F10" s="9" t="inlineStr">
        <is>
          <t>A</t>
        </is>
      </c>
      <c r="G10" s="10" t="inlineStr">
        <is>
          <t>Electrónica</t>
        </is>
      </c>
      <c r="H10" s="9" t="inlineStr">
        <is>
          <t>SI</t>
        </is>
      </c>
      <c r="I10" s="9">
        <f>IF(H10="SI",2,1)</f>
        <v/>
      </c>
      <c r="J10" s="9">
        <f>PREMISAS!C11</f>
        <v/>
      </c>
      <c r="K10" s="9">
        <f>PREMISAS!C12</f>
        <v/>
      </c>
      <c r="L10" s="9">
        <f>PREMISAS!C9</f>
        <v/>
      </c>
      <c r="M10" s="11">
        <f>VLOOKUP(G10,PREMISAS!$B$16:$D$24,2,0)</f>
        <v/>
      </c>
      <c r="N10" s="11">
        <f>VLOOKUP(G10,PREMISAS!$B$16:$D$24,3,0)</f>
        <v/>
      </c>
      <c r="O10" s="11">
        <f>J10*L10*M10</f>
        <v/>
      </c>
      <c r="P10" s="11">
        <f>IF(H10="SI",K10*L10*N10,0)</f>
        <v/>
      </c>
      <c r="Q10" s="12">
        <f>O10+P10</f>
        <v/>
      </c>
      <c r="R10" s="11">
        <f>VLOOKUP(F10,PREMISAS!$B$28:$F$30,3,0)</f>
        <v/>
      </c>
      <c r="S10" s="9">
        <f>PREMISAS!C5+PREMISAS!C8</f>
        <v/>
      </c>
      <c r="T10" s="11">
        <f>R10*S10*I10</f>
        <v/>
      </c>
      <c r="U10" s="11">
        <f>VLOOKUP(F10,PREMISAS!$B$28:$F$30,4,0)</f>
        <v/>
      </c>
      <c r="V10" s="11">
        <f>U10*PREMISAS!C5*I10</f>
        <v/>
      </c>
      <c r="W10" s="11">
        <f>VLOOKUP(D10,PREMISAS!$B$34:$F$40,5,0)</f>
        <v/>
      </c>
      <c r="X10" s="11">
        <f>W10*I10</f>
        <v/>
      </c>
      <c r="Y10" s="11">
        <f>VLOOKUP(F10,PREMISAS!$B$28:$F$30,5,0)</f>
        <v/>
      </c>
      <c r="Z10" s="9">
        <f>PREMISAS!C10</f>
        <v/>
      </c>
      <c r="AA10" s="11">
        <f>Y10*Z10*I10</f>
        <v/>
      </c>
      <c r="AB10" s="11">
        <f>VLOOKUP(G10,PREMISAS!$B$44:$C$52,2,0)</f>
        <v/>
      </c>
      <c r="AC10" s="11">
        <f>PREMISAS!C56</f>
        <v/>
      </c>
      <c r="AD10" s="12">
        <f>Q10+T10+V10+X10+AA10+AB10+AC10+IF(F10="C",I10*PREMISAS!C57,0)</f>
        <v/>
      </c>
    </row>
    <row r="11">
      <c r="A11" s="13" t="n">
        <v>8</v>
      </c>
      <c r="B11" s="14" t="inlineStr">
        <is>
          <t>T-ELEC-03</t>
        </is>
      </c>
      <c r="C11" s="14" t="inlineStr">
        <is>
          <t>6049 Ricardo Palma</t>
        </is>
      </c>
      <c r="D11" s="14" t="inlineStr">
        <is>
          <t>IE3</t>
        </is>
      </c>
      <c r="E11" s="14" t="inlineStr">
        <is>
          <t>Lima Metropolitana – Surquillo</t>
        </is>
      </c>
      <c r="F11" s="13" t="inlineStr">
        <is>
          <t>A</t>
        </is>
      </c>
      <c r="G11" s="14" t="inlineStr">
        <is>
          <t>Electricidad</t>
        </is>
      </c>
      <c r="H11" s="13" t="inlineStr">
        <is>
          <t>SI</t>
        </is>
      </c>
      <c r="I11" s="13">
        <f>IF(H11="SI",2,1)</f>
        <v/>
      </c>
      <c r="J11" s="13">
        <f>PREMISAS!C11</f>
        <v/>
      </c>
      <c r="K11" s="13">
        <f>PREMISAS!C12</f>
        <v/>
      </c>
      <c r="L11" s="13">
        <f>PREMISAS!C9</f>
        <v/>
      </c>
      <c r="M11" s="15">
        <f>VLOOKUP(G11,PREMISAS!$B$16:$D$24,2,0)</f>
        <v/>
      </c>
      <c r="N11" s="15">
        <f>VLOOKUP(G11,PREMISAS!$B$16:$D$24,3,0)</f>
        <v/>
      </c>
      <c r="O11" s="15">
        <f>J11*L11*M11</f>
        <v/>
      </c>
      <c r="P11" s="15">
        <f>IF(H11="SI",K11*L11*N11,0)</f>
        <v/>
      </c>
      <c r="Q11" s="16">
        <f>O11+P11</f>
        <v/>
      </c>
      <c r="R11" s="15">
        <f>VLOOKUP(F11,PREMISAS!$B$28:$F$30,3,0)</f>
        <v/>
      </c>
      <c r="S11" s="13">
        <f>PREMISAS!C5+PREMISAS!C8</f>
        <v/>
      </c>
      <c r="T11" s="15">
        <f>R11*S11*I11</f>
        <v/>
      </c>
      <c r="U11" s="15">
        <f>VLOOKUP(F11,PREMISAS!$B$28:$F$30,4,0)</f>
        <v/>
      </c>
      <c r="V11" s="15">
        <f>U11*PREMISAS!C5*I11</f>
        <v/>
      </c>
      <c r="W11" s="15">
        <f>VLOOKUP(D11,PREMISAS!$B$34:$F$40,5,0)</f>
        <v/>
      </c>
      <c r="X11" s="15">
        <f>W11*I11</f>
        <v/>
      </c>
      <c r="Y11" s="15">
        <f>VLOOKUP(F11,PREMISAS!$B$28:$F$30,5,0)</f>
        <v/>
      </c>
      <c r="Z11" s="13">
        <f>PREMISAS!C10</f>
        <v/>
      </c>
      <c r="AA11" s="15">
        <f>Y11*Z11*I11</f>
        <v/>
      </c>
      <c r="AB11" s="15">
        <f>VLOOKUP(G11,PREMISAS!$B$44:$C$52,2,0)</f>
        <v/>
      </c>
      <c r="AC11" s="15">
        <f>PREMISAS!C56</f>
        <v/>
      </c>
      <c r="AD11" s="16">
        <f>Q11+T11+V11+X11+AA11+AB11+AC11+IF(F11="C",I11*PREMISAS!C57,0)</f>
        <v/>
      </c>
    </row>
    <row r="12">
      <c r="A12" s="9" t="n">
        <v>9</v>
      </c>
      <c r="B12" s="10" t="inlineStr">
        <is>
          <t>T-INDUS.A-04</t>
        </is>
      </c>
      <c r="C12" s="10" t="inlineStr">
        <is>
          <t>Francisco Irazola</t>
        </is>
      </c>
      <c r="D12" s="10" t="inlineStr">
        <is>
          <t>IE4</t>
        </is>
      </c>
      <c r="E12" s="10" t="inlineStr">
        <is>
          <t>Junín – Satipo</t>
        </is>
      </c>
      <c r="F12" s="9" t="inlineStr">
        <is>
          <t>C</t>
        </is>
      </c>
      <c r="G12" s="10" t="inlineStr">
        <is>
          <t>Industria Alimentaria</t>
        </is>
      </c>
      <c r="H12" s="9" t="inlineStr">
        <is>
          <t>NO</t>
        </is>
      </c>
      <c r="I12" s="9">
        <f>IF(H12="SI",2,1)</f>
        <v/>
      </c>
      <c r="J12" s="9">
        <f>PREMISAS!C11</f>
        <v/>
      </c>
      <c r="K12" s="9">
        <f>PREMISAS!C12</f>
        <v/>
      </c>
      <c r="L12" s="9">
        <f>PREMISAS!C9</f>
        <v/>
      </c>
      <c r="M12" s="11">
        <f>VLOOKUP(G12,PREMISAS!$B$16:$D$24,2,0)</f>
        <v/>
      </c>
      <c r="N12" s="11">
        <f>VLOOKUP(G12,PREMISAS!$B$16:$D$24,3,0)</f>
        <v/>
      </c>
      <c r="O12" s="11">
        <f>J12*L12*M12</f>
        <v/>
      </c>
      <c r="P12" s="11">
        <f>IF(H12="SI",K12*L12*N12,0)</f>
        <v/>
      </c>
      <c r="Q12" s="12">
        <f>O12+P12</f>
        <v/>
      </c>
      <c r="R12" s="11">
        <f>VLOOKUP(F12,PREMISAS!$B$28:$F$30,3,0)</f>
        <v/>
      </c>
      <c r="S12" s="9">
        <f>PREMISAS!C5+PREMISAS!C8</f>
        <v/>
      </c>
      <c r="T12" s="11">
        <f>R12*S12*I12</f>
        <v/>
      </c>
      <c r="U12" s="11">
        <f>VLOOKUP(F12,PREMISAS!$B$28:$F$30,4,0)</f>
        <v/>
      </c>
      <c r="V12" s="11">
        <f>U12*PREMISAS!C5*I12</f>
        <v/>
      </c>
      <c r="W12" s="11">
        <f>VLOOKUP(D12,PREMISAS!$B$34:$F$40,5,0)</f>
        <v/>
      </c>
      <c r="X12" s="11">
        <f>W12*I12</f>
        <v/>
      </c>
      <c r="Y12" s="11">
        <f>VLOOKUP(F12,PREMISAS!$B$28:$F$30,5,0)</f>
        <v/>
      </c>
      <c r="Z12" s="9">
        <f>PREMISAS!C10</f>
        <v/>
      </c>
      <c r="AA12" s="11">
        <f>Y12*Z12*I12</f>
        <v/>
      </c>
      <c r="AB12" s="11">
        <f>VLOOKUP(G12,PREMISAS!$B$44:$C$52,2,0)</f>
        <v/>
      </c>
      <c r="AC12" s="11">
        <f>PREMISAS!C56</f>
        <v/>
      </c>
      <c r="AD12" s="12">
        <f>Q12+T12+V12+X12+AA12+AB12+AC12+IF(F12="C",I12*PREMISAS!C57,0)</f>
        <v/>
      </c>
    </row>
    <row r="13">
      <c r="A13" s="13" t="n">
        <v>10</v>
      </c>
      <c r="B13" s="14" t="inlineStr">
        <is>
          <t>T-MECA.A-04</t>
        </is>
      </c>
      <c r="C13" s="14" t="inlineStr">
        <is>
          <t>Francisco Irazola</t>
        </is>
      </c>
      <c r="D13" s="14" t="inlineStr">
        <is>
          <t>IE4</t>
        </is>
      </c>
      <c r="E13" s="14" t="inlineStr">
        <is>
          <t>Junín – Satipo</t>
        </is>
      </c>
      <c r="F13" s="13" t="inlineStr">
        <is>
          <t>C</t>
        </is>
      </c>
      <c r="G13" s="14" t="inlineStr">
        <is>
          <t>Mecánica Automotriz</t>
        </is>
      </c>
      <c r="H13" s="13" t="inlineStr">
        <is>
          <t>SI</t>
        </is>
      </c>
      <c r="I13" s="13">
        <f>IF(H13="SI",2,1)</f>
        <v/>
      </c>
      <c r="J13" s="13">
        <f>PREMISAS!C11</f>
        <v/>
      </c>
      <c r="K13" s="13">
        <f>PREMISAS!C12</f>
        <v/>
      </c>
      <c r="L13" s="13">
        <f>PREMISAS!C9</f>
        <v/>
      </c>
      <c r="M13" s="15">
        <f>VLOOKUP(G13,PREMISAS!$B$16:$D$24,2,0)</f>
        <v/>
      </c>
      <c r="N13" s="15">
        <f>VLOOKUP(G13,PREMISAS!$B$16:$D$24,3,0)</f>
        <v/>
      </c>
      <c r="O13" s="15">
        <f>J13*L13*M13</f>
        <v/>
      </c>
      <c r="P13" s="15">
        <f>IF(H13="SI",K13*L13*N13,0)</f>
        <v/>
      </c>
      <c r="Q13" s="16">
        <f>O13+P13</f>
        <v/>
      </c>
      <c r="R13" s="15">
        <f>VLOOKUP(F13,PREMISAS!$B$28:$F$30,3,0)</f>
        <v/>
      </c>
      <c r="S13" s="13">
        <f>PREMISAS!C5+PREMISAS!C8</f>
        <v/>
      </c>
      <c r="T13" s="15">
        <f>R13*S13*I13</f>
        <v/>
      </c>
      <c r="U13" s="15">
        <f>VLOOKUP(F13,PREMISAS!$B$28:$F$30,4,0)</f>
        <v/>
      </c>
      <c r="V13" s="15">
        <f>U13*PREMISAS!C5*I13</f>
        <v/>
      </c>
      <c r="W13" s="15">
        <f>VLOOKUP(D13,PREMISAS!$B$34:$F$40,5,0)</f>
        <v/>
      </c>
      <c r="X13" s="15">
        <f>W13*I13</f>
        <v/>
      </c>
      <c r="Y13" s="15">
        <f>VLOOKUP(F13,PREMISAS!$B$28:$F$30,5,0)</f>
        <v/>
      </c>
      <c r="Z13" s="13">
        <f>PREMISAS!C10</f>
        <v/>
      </c>
      <c r="AA13" s="15">
        <f>Y13*Z13*I13</f>
        <v/>
      </c>
      <c r="AB13" s="15">
        <f>VLOOKUP(G13,PREMISAS!$B$44:$C$52,2,0)</f>
        <v/>
      </c>
      <c r="AC13" s="15">
        <f>PREMISAS!C56</f>
        <v/>
      </c>
      <c r="AD13" s="16">
        <f>Q13+T13+V13+X13+AA13+AB13+AC13+IF(F13="C",I13*PREMISAS!C57,0)</f>
        <v/>
      </c>
    </row>
    <row r="14">
      <c r="A14" s="9" t="n">
        <v>11</v>
      </c>
      <c r="B14" s="10" t="inlineStr">
        <is>
          <t>T-COMP-05</t>
        </is>
      </c>
      <c r="C14" s="10" t="inlineStr">
        <is>
          <t>Guillermo E. Billinghurst</t>
        </is>
      </c>
      <c r="D14" s="10" t="inlineStr">
        <is>
          <t>IE5</t>
        </is>
      </c>
      <c r="E14" s="10" t="inlineStr">
        <is>
          <t>Lima Provincia – Barranca</t>
        </is>
      </c>
      <c r="F14" s="9" t="inlineStr">
        <is>
          <t>B</t>
        </is>
      </c>
      <c r="G14" s="10" t="inlineStr">
        <is>
          <t>Computación e Informática</t>
        </is>
      </c>
      <c r="H14" s="9" t="inlineStr">
        <is>
          <t>NO</t>
        </is>
      </c>
      <c r="I14" s="9">
        <f>IF(H14="SI",2,1)</f>
        <v/>
      </c>
      <c r="J14" s="9">
        <f>PREMISAS!C11</f>
        <v/>
      </c>
      <c r="K14" s="9">
        <f>PREMISAS!C12</f>
        <v/>
      </c>
      <c r="L14" s="9">
        <f>PREMISAS!C9</f>
        <v/>
      </c>
      <c r="M14" s="11">
        <f>VLOOKUP(G14,PREMISAS!$B$16:$D$24,2,0)</f>
        <v/>
      </c>
      <c r="N14" s="11">
        <f>VLOOKUP(G14,PREMISAS!$B$16:$D$24,3,0)</f>
        <v/>
      </c>
      <c r="O14" s="11">
        <f>J14*L14*M14</f>
        <v/>
      </c>
      <c r="P14" s="11">
        <f>IF(H14="SI",K14*L14*N14,0)</f>
        <v/>
      </c>
      <c r="Q14" s="12">
        <f>O14+P14</f>
        <v/>
      </c>
      <c r="R14" s="11">
        <f>VLOOKUP(F14,PREMISAS!$B$28:$F$30,3,0)</f>
        <v/>
      </c>
      <c r="S14" s="9">
        <f>PREMISAS!C5+PREMISAS!C8</f>
        <v/>
      </c>
      <c r="T14" s="11">
        <f>R14*S14*I14</f>
        <v/>
      </c>
      <c r="U14" s="11">
        <f>VLOOKUP(F14,PREMISAS!$B$28:$F$30,4,0)</f>
        <v/>
      </c>
      <c r="V14" s="11">
        <f>U14*PREMISAS!C5*I14</f>
        <v/>
      </c>
      <c r="W14" s="11">
        <f>VLOOKUP(D14,PREMISAS!$B$34:$F$40,5,0)</f>
        <v/>
      </c>
      <c r="X14" s="11">
        <f>W14*I14</f>
        <v/>
      </c>
      <c r="Y14" s="11">
        <f>VLOOKUP(F14,PREMISAS!$B$28:$F$30,5,0)</f>
        <v/>
      </c>
      <c r="Z14" s="9">
        <f>PREMISAS!C10</f>
        <v/>
      </c>
      <c r="AA14" s="11">
        <f>Y14*Z14*I14</f>
        <v/>
      </c>
      <c r="AB14" s="11">
        <f>VLOOKUP(G14,PREMISAS!$B$44:$C$52,2,0)</f>
        <v/>
      </c>
      <c r="AC14" s="11">
        <f>PREMISAS!C56</f>
        <v/>
      </c>
      <c r="AD14" s="12">
        <f>Q14+T14+V14+X14+AA14+AB14+AC14+IF(F14="C",I14*PREMISAS!C57,0)</f>
        <v/>
      </c>
    </row>
    <row r="15">
      <c r="A15" s="13" t="n">
        <v>12</v>
      </c>
      <c r="B15" s="14" t="inlineStr">
        <is>
          <t>T-EBAN-05</t>
        </is>
      </c>
      <c r="C15" s="14" t="inlineStr">
        <is>
          <t>Guillermo E. Billinghurst</t>
        </is>
      </c>
      <c r="D15" s="14" t="inlineStr">
        <is>
          <t>IE5</t>
        </is>
      </c>
      <c r="E15" s="14" t="inlineStr">
        <is>
          <t>Lima Provincia – Barranca</t>
        </is>
      </c>
      <c r="F15" s="13" t="inlineStr">
        <is>
          <t>B</t>
        </is>
      </c>
      <c r="G15" s="14" t="inlineStr">
        <is>
          <t>Ebanistería</t>
        </is>
      </c>
      <c r="H15" s="13" t="inlineStr">
        <is>
          <t>SI</t>
        </is>
      </c>
      <c r="I15" s="13">
        <f>IF(H15="SI",2,1)</f>
        <v/>
      </c>
      <c r="J15" s="13">
        <f>PREMISAS!C11</f>
        <v/>
      </c>
      <c r="K15" s="13">
        <f>PREMISAS!C12</f>
        <v/>
      </c>
      <c r="L15" s="13">
        <f>PREMISAS!C9</f>
        <v/>
      </c>
      <c r="M15" s="15">
        <f>VLOOKUP(G15,PREMISAS!$B$16:$D$24,2,0)</f>
        <v/>
      </c>
      <c r="N15" s="15">
        <f>VLOOKUP(G15,PREMISAS!$B$16:$D$24,3,0)</f>
        <v/>
      </c>
      <c r="O15" s="15">
        <f>J15*L15*M15</f>
        <v/>
      </c>
      <c r="P15" s="15">
        <f>IF(H15="SI",K15*L15*N15,0)</f>
        <v/>
      </c>
      <c r="Q15" s="16">
        <f>O15+P15</f>
        <v/>
      </c>
      <c r="R15" s="15">
        <f>VLOOKUP(F15,PREMISAS!$B$28:$F$30,3,0)</f>
        <v/>
      </c>
      <c r="S15" s="13">
        <f>PREMISAS!C5+PREMISAS!C8</f>
        <v/>
      </c>
      <c r="T15" s="15">
        <f>R15*S15*I15</f>
        <v/>
      </c>
      <c r="U15" s="15">
        <f>VLOOKUP(F15,PREMISAS!$B$28:$F$30,4,0)</f>
        <v/>
      </c>
      <c r="V15" s="15">
        <f>U15*PREMISAS!C5*I15</f>
        <v/>
      </c>
      <c r="W15" s="15">
        <f>VLOOKUP(D15,PREMISAS!$B$34:$F$40,5,0)</f>
        <v/>
      </c>
      <c r="X15" s="15">
        <f>W15*I15</f>
        <v/>
      </c>
      <c r="Y15" s="15">
        <f>VLOOKUP(F15,PREMISAS!$B$28:$F$30,5,0)</f>
        <v/>
      </c>
      <c r="Z15" s="13">
        <f>PREMISAS!C10</f>
        <v/>
      </c>
      <c r="AA15" s="15">
        <f>Y15*Z15*I15</f>
        <v/>
      </c>
      <c r="AB15" s="15">
        <f>VLOOKUP(G15,PREMISAS!$B$44:$C$52,2,0)</f>
        <v/>
      </c>
      <c r="AC15" s="15">
        <f>PREMISAS!C56</f>
        <v/>
      </c>
      <c r="AD15" s="16">
        <f>Q15+T15+V15+X15+AA15+AB15+AC15+IF(F15="C",I15*PREMISAS!C57,0)</f>
        <v/>
      </c>
    </row>
    <row r="16">
      <c r="A16" s="9" t="n">
        <v>13</v>
      </c>
      <c r="B16" s="10" t="inlineStr">
        <is>
          <t>T-ELEC-05</t>
        </is>
      </c>
      <c r="C16" s="10" t="inlineStr">
        <is>
          <t>Guillermo E. Billinghurst</t>
        </is>
      </c>
      <c r="D16" s="10" t="inlineStr">
        <is>
          <t>IE5</t>
        </is>
      </c>
      <c r="E16" s="10" t="inlineStr">
        <is>
          <t>Lima Provincia – Barranca</t>
        </is>
      </c>
      <c r="F16" s="9" t="inlineStr">
        <is>
          <t>B</t>
        </is>
      </c>
      <c r="G16" s="10" t="inlineStr">
        <is>
          <t>Electricidad</t>
        </is>
      </c>
      <c r="H16" s="9" t="inlineStr">
        <is>
          <t>SI</t>
        </is>
      </c>
      <c r="I16" s="9">
        <f>IF(H16="SI",2,1)</f>
        <v/>
      </c>
      <c r="J16" s="9">
        <f>PREMISAS!C11</f>
        <v/>
      </c>
      <c r="K16" s="9">
        <f>PREMISAS!C12</f>
        <v/>
      </c>
      <c r="L16" s="9">
        <f>PREMISAS!C9</f>
        <v/>
      </c>
      <c r="M16" s="11">
        <f>VLOOKUP(G16,PREMISAS!$B$16:$D$24,2,0)</f>
        <v/>
      </c>
      <c r="N16" s="11">
        <f>VLOOKUP(G16,PREMISAS!$B$16:$D$24,3,0)</f>
        <v/>
      </c>
      <c r="O16" s="11">
        <f>J16*L16*M16</f>
        <v/>
      </c>
      <c r="P16" s="11">
        <f>IF(H16="SI",K16*L16*N16,0)</f>
        <v/>
      </c>
      <c r="Q16" s="12">
        <f>O16+P16</f>
        <v/>
      </c>
      <c r="R16" s="11">
        <f>VLOOKUP(F16,PREMISAS!$B$28:$F$30,3,0)</f>
        <v/>
      </c>
      <c r="S16" s="9">
        <f>PREMISAS!C5+PREMISAS!C8</f>
        <v/>
      </c>
      <c r="T16" s="11">
        <f>R16*S16*I16</f>
        <v/>
      </c>
      <c r="U16" s="11">
        <f>VLOOKUP(F16,PREMISAS!$B$28:$F$30,4,0)</f>
        <v/>
      </c>
      <c r="V16" s="11">
        <f>U16*PREMISAS!C5*I16</f>
        <v/>
      </c>
      <c r="W16" s="11">
        <f>VLOOKUP(D16,PREMISAS!$B$34:$F$40,5,0)</f>
        <v/>
      </c>
      <c r="X16" s="11">
        <f>W16*I16</f>
        <v/>
      </c>
      <c r="Y16" s="11">
        <f>VLOOKUP(F16,PREMISAS!$B$28:$F$30,5,0)</f>
        <v/>
      </c>
      <c r="Z16" s="9">
        <f>PREMISAS!C10</f>
        <v/>
      </c>
      <c r="AA16" s="11">
        <f>Y16*Z16*I16</f>
        <v/>
      </c>
      <c r="AB16" s="11">
        <f>VLOOKUP(G16,PREMISAS!$B$44:$C$52,2,0)</f>
        <v/>
      </c>
      <c r="AC16" s="11">
        <f>PREMISAS!C56</f>
        <v/>
      </c>
      <c r="AD16" s="12">
        <f>Q16+T16+V16+X16+AA16+AB16+AC16+IF(F16="C",I16*PREMISAS!C57,0)</f>
        <v/>
      </c>
    </row>
    <row r="17">
      <c r="A17" s="13" t="n">
        <v>14</v>
      </c>
      <c r="B17" s="14" t="inlineStr">
        <is>
          <t>T-INDUS.A-05</t>
        </is>
      </c>
      <c r="C17" s="14" t="inlineStr">
        <is>
          <t>Guillermo E. Billinghurst</t>
        </is>
      </c>
      <c r="D17" s="14" t="inlineStr">
        <is>
          <t>IE5</t>
        </is>
      </c>
      <c r="E17" s="14" t="inlineStr">
        <is>
          <t>Lima Provincia – Barranca</t>
        </is>
      </c>
      <c r="F17" s="13" t="inlineStr">
        <is>
          <t>B</t>
        </is>
      </c>
      <c r="G17" s="14" t="inlineStr">
        <is>
          <t>Industria Alimentaria</t>
        </is>
      </c>
      <c r="H17" s="13" t="inlineStr">
        <is>
          <t>NO</t>
        </is>
      </c>
      <c r="I17" s="13">
        <f>IF(H17="SI",2,1)</f>
        <v/>
      </c>
      <c r="J17" s="13">
        <f>PREMISAS!C11</f>
        <v/>
      </c>
      <c r="K17" s="13">
        <f>PREMISAS!C12</f>
        <v/>
      </c>
      <c r="L17" s="13">
        <f>PREMISAS!C9</f>
        <v/>
      </c>
      <c r="M17" s="15">
        <f>VLOOKUP(G17,PREMISAS!$B$16:$D$24,2,0)</f>
        <v/>
      </c>
      <c r="N17" s="15">
        <f>VLOOKUP(G17,PREMISAS!$B$16:$D$24,3,0)</f>
        <v/>
      </c>
      <c r="O17" s="15">
        <f>J17*L17*M17</f>
        <v/>
      </c>
      <c r="P17" s="15">
        <f>IF(H17="SI",K17*L17*N17,0)</f>
        <v/>
      </c>
      <c r="Q17" s="16">
        <f>O17+P17</f>
        <v/>
      </c>
      <c r="R17" s="15">
        <f>VLOOKUP(F17,PREMISAS!$B$28:$F$30,3,0)</f>
        <v/>
      </c>
      <c r="S17" s="13">
        <f>PREMISAS!C5+PREMISAS!C8</f>
        <v/>
      </c>
      <c r="T17" s="15">
        <f>R17*S17*I17</f>
        <v/>
      </c>
      <c r="U17" s="15">
        <f>VLOOKUP(F17,PREMISAS!$B$28:$F$30,4,0)</f>
        <v/>
      </c>
      <c r="V17" s="15">
        <f>U17*PREMISAS!C5*I17</f>
        <v/>
      </c>
      <c r="W17" s="15">
        <f>VLOOKUP(D17,PREMISAS!$B$34:$F$40,5,0)</f>
        <v/>
      </c>
      <c r="X17" s="15">
        <f>W17*I17</f>
        <v/>
      </c>
      <c r="Y17" s="15">
        <f>VLOOKUP(F17,PREMISAS!$B$28:$F$30,5,0)</f>
        <v/>
      </c>
      <c r="Z17" s="13">
        <f>PREMISAS!C10</f>
        <v/>
      </c>
      <c r="AA17" s="15">
        <f>Y17*Z17*I17</f>
        <v/>
      </c>
      <c r="AB17" s="15">
        <f>VLOOKUP(G17,PREMISAS!$B$44:$C$52,2,0)</f>
        <v/>
      </c>
      <c r="AC17" s="15">
        <f>PREMISAS!C56</f>
        <v/>
      </c>
      <c r="AD17" s="16">
        <f>Q17+T17+V17+X17+AA17+AB17+AC17+IF(F17="C",I17*PREMISAS!C57,0)</f>
        <v/>
      </c>
    </row>
    <row r="18">
      <c r="A18" s="9" t="n">
        <v>15</v>
      </c>
      <c r="B18" s="10" t="inlineStr">
        <is>
          <t>T-MECA.A-05</t>
        </is>
      </c>
      <c r="C18" s="10" t="inlineStr">
        <is>
          <t>Guillermo E. Billinghurst</t>
        </is>
      </c>
      <c r="D18" s="10" t="inlineStr">
        <is>
          <t>IE5</t>
        </is>
      </c>
      <c r="E18" s="10" t="inlineStr">
        <is>
          <t>Lima Provincia – Barranca</t>
        </is>
      </c>
      <c r="F18" s="9" t="inlineStr">
        <is>
          <t>B</t>
        </is>
      </c>
      <c r="G18" s="10" t="inlineStr">
        <is>
          <t>Mecánica Automotriz</t>
        </is>
      </c>
      <c r="H18" s="9" t="inlineStr">
        <is>
          <t>SI</t>
        </is>
      </c>
      <c r="I18" s="9">
        <f>IF(H18="SI",2,1)</f>
        <v/>
      </c>
      <c r="J18" s="9">
        <f>PREMISAS!C11</f>
        <v/>
      </c>
      <c r="K18" s="9">
        <f>PREMISAS!C12</f>
        <v/>
      </c>
      <c r="L18" s="9">
        <f>PREMISAS!C9</f>
        <v/>
      </c>
      <c r="M18" s="11">
        <f>VLOOKUP(G18,PREMISAS!$B$16:$D$24,2,0)</f>
        <v/>
      </c>
      <c r="N18" s="11">
        <f>VLOOKUP(G18,PREMISAS!$B$16:$D$24,3,0)</f>
        <v/>
      </c>
      <c r="O18" s="11">
        <f>J18*L18*M18</f>
        <v/>
      </c>
      <c r="P18" s="11">
        <f>IF(H18="SI",K18*L18*N18,0)</f>
        <v/>
      </c>
      <c r="Q18" s="12">
        <f>O18+P18</f>
        <v/>
      </c>
      <c r="R18" s="11">
        <f>VLOOKUP(F18,PREMISAS!$B$28:$F$30,3,0)</f>
        <v/>
      </c>
      <c r="S18" s="9">
        <f>PREMISAS!C5+PREMISAS!C8</f>
        <v/>
      </c>
      <c r="T18" s="11">
        <f>R18*S18*I18</f>
        <v/>
      </c>
      <c r="U18" s="11">
        <f>VLOOKUP(F18,PREMISAS!$B$28:$F$30,4,0)</f>
        <v/>
      </c>
      <c r="V18" s="11">
        <f>U18*PREMISAS!C5*I18</f>
        <v/>
      </c>
      <c r="W18" s="11">
        <f>VLOOKUP(D18,PREMISAS!$B$34:$F$40,5,0)</f>
        <v/>
      </c>
      <c r="X18" s="11">
        <f>W18*I18</f>
        <v/>
      </c>
      <c r="Y18" s="11">
        <f>VLOOKUP(F18,PREMISAS!$B$28:$F$30,5,0)</f>
        <v/>
      </c>
      <c r="Z18" s="9">
        <f>PREMISAS!C10</f>
        <v/>
      </c>
      <c r="AA18" s="11">
        <f>Y18*Z18*I18</f>
        <v/>
      </c>
      <c r="AB18" s="11">
        <f>VLOOKUP(G18,PREMISAS!$B$44:$C$52,2,0)</f>
        <v/>
      </c>
      <c r="AC18" s="11">
        <f>PREMISAS!C56</f>
        <v/>
      </c>
      <c r="AD18" s="12">
        <f>Q18+T18+V18+X18+AA18+AB18+AC18+IF(F18="C",I18*PREMISAS!C57,0)</f>
        <v/>
      </c>
    </row>
    <row r="19">
      <c r="A19" s="13" t="n">
        <v>16</v>
      </c>
      <c r="B19" s="14" t="inlineStr">
        <is>
          <t>T-MECA.A-06</t>
        </is>
      </c>
      <c r="C19" s="14" t="inlineStr">
        <is>
          <t>José Granda</t>
        </is>
      </c>
      <c r="D19" s="14" t="inlineStr">
        <is>
          <t>IE6</t>
        </is>
      </c>
      <c r="E19" s="14" t="inlineStr">
        <is>
          <t>Lima Metropolitana – SMP</t>
        </is>
      </c>
      <c r="F19" s="13" t="inlineStr">
        <is>
          <t>A</t>
        </is>
      </c>
      <c r="G19" s="14" t="inlineStr">
        <is>
          <t>Mecánica Automotriz</t>
        </is>
      </c>
      <c r="H19" s="13" t="inlineStr">
        <is>
          <t>SI</t>
        </is>
      </c>
      <c r="I19" s="13">
        <f>IF(H19="SI",2,1)</f>
        <v/>
      </c>
      <c r="J19" s="13">
        <f>PREMISAS!C11</f>
        <v/>
      </c>
      <c r="K19" s="13">
        <f>PREMISAS!C12</f>
        <v/>
      </c>
      <c r="L19" s="13">
        <f>PREMISAS!C9</f>
        <v/>
      </c>
      <c r="M19" s="15">
        <f>VLOOKUP(G19,PREMISAS!$B$16:$D$24,2,0)</f>
        <v/>
      </c>
      <c r="N19" s="15">
        <f>VLOOKUP(G19,PREMISAS!$B$16:$D$24,3,0)</f>
        <v/>
      </c>
      <c r="O19" s="15">
        <f>J19*L19*M19</f>
        <v/>
      </c>
      <c r="P19" s="15">
        <f>IF(H19="SI",K19*L19*N19,0)</f>
        <v/>
      </c>
      <c r="Q19" s="16">
        <f>O19+P19</f>
        <v/>
      </c>
      <c r="R19" s="15">
        <f>VLOOKUP(F19,PREMISAS!$B$28:$F$30,3,0)</f>
        <v/>
      </c>
      <c r="S19" s="13">
        <f>PREMISAS!C5+PREMISAS!C8</f>
        <v/>
      </c>
      <c r="T19" s="15">
        <f>R19*S19*I19</f>
        <v/>
      </c>
      <c r="U19" s="15">
        <f>VLOOKUP(F19,PREMISAS!$B$28:$F$30,4,0)</f>
        <v/>
      </c>
      <c r="V19" s="15">
        <f>U19*PREMISAS!C5*I19</f>
        <v/>
      </c>
      <c r="W19" s="15">
        <f>VLOOKUP(D19,PREMISAS!$B$34:$F$40,5,0)</f>
        <v/>
      </c>
      <c r="X19" s="15">
        <f>W19*I19</f>
        <v/>
      </c>
      <c r="Y19" s="15">
        <f>VLOOKUP(F19,PREMISAS!$B$28:$F$30,5,0)</f>
        <v/>
      </c>
      <c r="Z19" s="13">
        <f>PREMISAS!C10</f>
        <v/>
      </c>
      <c r="AA19" s="15">
        <f>Y19*Z19*I19</f>
        <v/>
      </c>
      <c r="AB19" s="15">
        <f>VLOOKUP(G19,PREMISAS!$B$44:$C$52,2,0)</f>
        <v/>
      </c>
      <c r="AC19" s="15">
        <f>PREMISAS!C56</f>
        <v/>
      </c>
      <c r="AD19" s="16">
        <f>Q19+T19+V19+X19+AA19+AB19+AC19+IF(F19="C",I19*PREMISAS!C57,0)</f>
        <v/>
      </c>
    </row>
    <row r="20">
      <c r="A20" s="9" t="n">
        <v>17</v>
      </c>
      <c r="B20" s="10" t="inlineStr">
        <is>
          <t>T-COMP-06</t>
        </is>
      </c>
      <c r="C20" s="10" t="inlineStr">
        <is>
          <t>José Granda</t>
        </is>
      </c>
      <c r="D20" s="10" t="inlineStr">
        <is>
          <t>IE6</t>
        </is>
      </c>
      <c r="E20" s="10" t="inlineStr">
        <is>
          <t>Lima Metropolitana – SMP</t>
        </is>
      </c>
      <c r="F20" s="9" t="inlineStr">
        <is>
          <t>A</t>
        </is>
      </c>
      <c r="G20" s="10" t="inlineStr">
        <is>
          <t>Computación e Informática</t>
        </is>
      </c>
      <c r="H20" s="9" t="inlineStr">
        <is>
          <t>NO</t>
        </is>
      </c>
      <c r="I20" s="9">
        <f>IF(H20="SI",2,1)</f>
        <v/>
      </c>
      <c r="J20" s="9">
        <f>PREMISAS!C11</f>
        <v/>
      </c>
      <c r="K20" s="9">
        <f>PREMISAS!C12</f>
        <v/>
      </c>
      <c r="L20" s="9">
        <f>PREMISAS!C9</f>
        <v/>
      </c>
      <c r="M20" s="11">
        <f>VLOOKUP(G20,PREMISAS!$B$16:$D$24,2,0)</f>
        <v/>
      </c>
      <c r="N20" s="11">
        <f>VLOOKUP(G20,PREMISAS!$B$16:$D$24,3,0)</f>
        <v/>
      </c>
      <c r="O20" s="11">
        <f>J20*L20*M20</f>
        <v/>
      </c>
      <c r="P20" s="11">
        <f>IF(H20="SI",K20*L20*N20,0)</f>
        <v/>
      </c>
      <c r="Q20" s="12">
        <f>O20+P20</f>
        <v/>
      </c>
      <c r="R20" s="11">
        <f>VLOOKUP(F20,PREMISAS!$B$28:$F$30,3,0)</f>
        <v/>
      </c>
      <c r="S20" s="9">
        <f>PREMISAS!C5+PREMISAS!C8</f>
        <v/>
      </c>
      <c r="T20" s="11">
        <f>R20*S20*I20</f>
        <v/>
      </c>
      <c r="U20" s="11">
        <f>VLOOKUP(F20,PREMISAS!$B$28:$F$30,4,0)</f>
        <v/>
      </c>
      <c r="V20" s="11">
        <f>U20*PREMISAS!C5*I20</f>
        <v/>
      </c>
      <c r="W20" s="11">
        <f>VLOOKUP(D20,PREMISAS!$B$34:$F$40,5,0)</f>
        <v/>
      </c>
      <c r="X20" s="11">
        <f>W20*I20</f>
        <v/>
      </c>
      <c r="Y20" s="11">
        <f>VLOOKUP(F20,PREMISAS!$B$28:$F$30,5,0)</f>
        <v/>
      </c>
      <c r="Z20" s="9">
        <f>PREMISAS!C10</f>
        <v/>
      </c>
      <c r="AA20" s="11">
        <f>Y20*Z20*I20</f>
        <v/>
      </c>
      <c r="AB20" s="11">
        <f>VLOOKUP(G20,PREMISAS!$B$44:$C$52,2,0)</f>
        <v/>
      </c>
      <c r="AC20" s="11">
        <f>PREMISAS!C56</f>
        <v/>
      </c>
      <c r="AD20" s="12">
        <f>Q20+T20+V20+X20+AA20+AB20+AC20+IF(F20="C",I20*PREMISAS!C57,0)</f>
        <v/>
      </c>
    </row>
    <row r="21">
      <c r="A21" s="13" t="n">
        <v>18</v>
      </c>
      <c r="B21" s="14" t="inlineStr">
        <is>
          <t>T-INDUS.A-06</t>
        </is>
      </c>
      <c r="C21" s="14" t="inlineStr">
        <is>
          <t>José Granda</t>
        </is>
      </c>
      <c r="D21" s="14" t="inlineStr">
        <is>
          <t>IE6</t>
        </is>
      </c>
      <c r="E21" s="14" t="inlineStr">
        <is>
          <t>Lima Metropolitana – SMP</t>
        </is>
      </c>
      <c r="F21" s="13" t="inlineStr">
        <is>
          <t>A</t>
        </is>
      </c>
      <c r="G21" s="14" t="inlineStr">
        <is>
          <t>Industria Alimentaria</t>
        </is>
      </c>
      <c r="H21" s="13" t="inlineStr">
        <is>
          <t>NO</t>
        </is>
      </c>
      <c r="I21" s="13">
        <f>IF(H21="SI",2,1)</f>
        <v/>
      </c>
      <c r="J21" s="13">
        <f>PREMISAS!C11</f>
        <v/>
      </c>
      <c r="K21" s="13">
        <f>PREMISAS!C12</f>
        <v/>
      </c>
      <c r="L21" s="13">
        <f>PREMISAS!C9</f>
        <v/>
      </c>
      <c r="M21" s="15">
        <f>VLOOKUP(G21,PREMISAS!$B$16:$D$24,2,0)</f>
        <v/>
      </c>
      <c r="N21" s="15">
        <f>VLOOKUP(G21,PREMISAS!$B$16:$D$24,3,0)</f>
        <v/>
      </c>
      <c r="O21" s="15">
        <f>J21*L21*M21</f>
        <v/>
      </c>
      <c r="P21" s="15">
        <f>IF(H21="SI",K21*L21*N21,0)</f>
        <v/>
      </c>
      <c r="Q21" s="16">
        <f>O21+P21</f>
        <v/>
      </c>
      <c r="R21" s="15">
        <f>VLOOKUP(F21,PREMISAS!$B$28:$F$30,3,0)</f>
        <v/>
      </c>
      <c r="S21" s="13">
        <f>PREMISAS!C5+PREMISAS!C8</f>
        <v/>
      </c>
      <c r="T21" s="15">
        <f>R21*S21*I21</f>
        <v/>
      </c>
      <c r="U21" s="15">
        <f>VLOOKUP(F21,PREMISAS!$B$28:$F$30,4,0)</f>
        <v/>
      </c>
      <c r="V21" s="15">
        <f>U21*PREMISAS!C5*I21</f>
        <v/>
      </c>
      <c r="W21" s="15">
        <f>VLOOKUP(D21,PREMISAS!$B$34:$F$40,5,0)</f>
        <v/>
      </c>
      <c r="X21" s="15">
        <f>W21*I21</f>
        <v/>
      </c>
      <c r="Y21" s="15">
        <f>VLOOKUP(F21,PREMISAS!$B$28:$F$30,5,0)</f>
        <v/>
      </c>
      <c r="Z21" s="13">
        <f>PREMISAS!C10</f>
        <v/>
      </c>
      <c r="AA21" s="15">
        <f>Y21*Z21*I21</f>
        <v/>
      </c>
      <c r="AB21" s="15">
        <f>VLOOKUP(G21,PREMISAS!$B$44:$C$52,2,0)</f>
        <v/>
      </c>
      <c r="AC21" s="15">
        <f>PREMISAS!C56</f>
        <v/>
      </c>
      <c r="AD21" s="16">
        <f>Q21+T21+V21+X21+AA21+AB21+AC21+IF(F21="C",I21*PREMISAS!C57,0)</f>
        <v/>
      </c>
    </row>
    <row r="22">
      <c r="A22" s="9" t="n">
        <v>19</v>
      </c>
      <c r="B22" s="10" t="inlineStr">
        <is>
          <t>T-INDUS.V-07</t>
        </is>
      </c>
      <c r="C22" s="10" t="inlineStr">
        <is>
          <t>Manuel A. Mesones Muro</t>
        </is>
      </c>
      <c r="D22" s="10" t="inlineStr">
        <is>
          <t>IE7</t>
        </is>
      </c>
      <c r="E22" s="10" t="inlineStr">
        <is>
          <t>San Martín – El Dorado</t>
        </is>
      </c>
      <c r="F22" s="9" t="inlineStr">
        <is>
          <t>C</t>
        </is>
      </c>
      <c r="G22" s="10" t="inlineStr">
        <is>
          <t>Industria del Vestido</t>
        </is>
      </c>
      <c r="H22" s="9" t="inlineStr">
        <is>
          <t>NO</t>
        </is>
      </c>
      <c r="I22" s="9">
        <f>IF(H22="SI",2,1)</f>
        <v/>
      </c>
      <c r="J22" s="9">
        <f>PREMISAS!C11</f>
        <v/>
      </c>
      <c r="K22" s="9">
        <f>PREMISAS!C12</f>
        <v/>
      </c>
      <c r="L22" s="9">
        <f>PREMISAS!C9</f>
        <v/>
      </c>
      <c r="M22" s="11">
        <f>VLOOKUP(G22,PREMISAS!$B$16:$D$24,2,0)</f>
        <v/>
      </c>
      <c r="N22" s="11">
        <f>VLOOKUP(G22,PREMISAS!$B$16:$D$24,3,0)</f>
        <v/>
      </c>
      <c r="O22" s="11">
        <f>J22*L22*M22</f>
        <v/>
      </c>
      <c r="P22" s="11">
        <f>IF(H22="SI",K22*L22*N22,0)</f>
        <v/>
      </c>
      <c r="Q22" s="12">
        <f>O22+P22</f>
        <v/>
      </c>
      <c r="R22" s="11">
        <f>VLOOKUP(F22,PREMISAS!$B$28:$F$30,3,0)</f>
        <v/>
      </c>
      <c r="S22" s="9">
        <f>PREMISAS!C5+PREMISAS!C8</f>
        <v/>
      </c>
      <c r="T22" s="11">
        <f>R22*S22*I22</f>
        <v/>
      </c>
      <c r="U22" s="11">
        <f>VLOOKUP(F22,PREMISAS!$B$28:$F$30,4,0)</f>
        <v/>
      </c>
      <c r="V22" s="11">
        <f>U22*PREMISAS!C5*I22</f>
        <v/>
      </c>
      <c r="W22" s="11">
        <f>VLOOKUP(D22,PREMISAS!$B$34:$F$40,5,0)</f>
        <v/>
      </c>
      <c r="X22" s="11">
        <f>W22*I22</f>
        <v/>
      </c>
      <c r="Y22" s="11">
        <f>VLOOKUP(F22,PREMISAS!$B$28:$F$30,5,0)</f>
        <v/>
      </c>
      <c r="Z22" s="9">
        <f>PREMISAS!C10</f>
        <v/>
      </c>
      <c r="AA22" s="11">
        <f>Y22*Z22*I22</f>
        <v/>
      </c>
      <c r="AB22" s="11">
        <f>VLOOKUP(G22,PREMISAS!$B$44:$C$52,2,0)</f>
        <v/>
      </c>
      <c r="AC22" s="11">
        <f>PREMISAS!C56</f>
        <v/>
      </c>
      <c r="AD22" s="12">
        <f>Q22+T22+V22+X22+AA22+AB22+AC22+IF(F22="C",I22*PREMISAS!C57,0)</f>
        <v/>
      </c>
    </row>
    <row r="23">
      <c r="A23" s="13" t="n">
        <v>20</v>
      </c>
      <c r="B23" s="14" t="inlineStr">
        <is>
          <t>T-CONST.M-07</t>
        </is>
      </c>
      <c r="C23" s="14" t="inlineStr">
        <is>
          <t>Manuel A. Mesones Muro</t>
        </is>
      </c>
      <c r="D23" s="14" t="inlineStr">
        <is>
          <t>IE7</t>
        </is>
      </c>
      <c r="E23" s="14" t="inlineStr">
        <is>
          <t>San Martín – El Dorado</t>
        </is>
      </c>
      <c r="F23" s="13" t="inlineStr">
        <is>
          <t>C</t>
        </is>
      </c>
      <c r="G23" s="14" t="inlineStr">
        <is>
          <t>Construcciones Metálicas</t>
        </is>
      </c>
      <c r="H23" s="13" t="inlineStr">
        <is>
          <t>SI</t>
        </is>
      </c>
      <c r="I23" s="13">
        <f>IF(H23="SI",2,1)</f>
        <v/>
      </c>
      <c r="J23" s="13">
        <f>PREMISAS!C11</f>
        <v/>
      </c>
      <c r="K23" s="13">
        <f>PREMISAS!C12</f>
        <v/>
      </c>
      <c r="L23" s="13">
        <f>PREMISAS!C9</f>
        <v/>
      </c>
      <c r="M23" s="15">
        <f>VLOOKUP(G23,PREMISAS!$B$16:$D$24,2,0)</f>
        <v/>
      </c>
      <c r="N23" s="15">
        <f>VLOOKUP(G23,PREMISAS!$B$16:$D$24,3,0)</f>
        <v/>
      </c>
      <c r="O23" s="15">
        <f>J23*L23*M23</f>
        <v/>
      </c>
      <c r="P23" s="15">
        <f>IF(H23="SI",K23*L23*N23,0)</f>
        <v/>
      </c>
      <c r="Q23" s="16">
        <f>O23+P23</f>
        <v/>
      </c>
      <c r="R23" s="15">
        <f>VLOOKUP(F23,PREMISAS!$B$28:$F$30,3,0)</f>
        <v/>
      </c>
      <c r="S23" s="13">
        <f>PREMISAS!C5+PREMISAS!C8</f>
        <v/>
      </c>
      <c r="T23" s="15">
        <f>R23*S23*I23</f>
        <v/>
      </c>
      <c r="U23" s="15">
        <f>VLOOKUP(F23,PREMISAS!$B$28:$F$30,4,0)</f>
        <v/>
      </c>
      <c r="V23" s="15">
        <f>U23*PREMISAS!C5*I23</f>
        <v/>
      </c>
      <c r="W23" s="15">
        <f>VLOOKUP(D23,PREMISAS!$B$34:$F$40,5,0)</f>
        <v/>
      </c>
      <c r="X23" s="15">
        <f>W23*I23</f>
        <v/>
      </c>
      <c r="Y23" s="15">
        <f>VLOOKUP(F23,PREMISAS!$B$28:$F$30,5,0)</f>
        <v/>
      </c>
      <c r="Z23" s="13">
        <f>PREMISAS!C10</f>
        <v/>
      </c>
      <c r="AA23" s="15">
        <f>Y23*Z23*I23</f>
        <v/>
      </c>
      <c r="AB23" s="15">
        <f>VLOOKUP(G23,PREMISAS!$B$44:$C$52,2,0)</f>
        <v/>
      </c>
      <c r="AC23" s="15">
        <f>PREMISAS!C56</f>
        <v/>
      </c>
      <c r="AD23" s="16">
        <f>Q23+T23+V23+X23+AA23+AB23+AC23+IF(F23="C",I23*PREMISAS!C57,0)</f>
        <v/>
      </c>
    </row>
    <row r="24">
      <c r="A24" s="9" t="n">
        <v>21</v>
      </c>
      <c r="B24" s="10" t="inlineStr">
        <is>
          <t>T-EBAN-07</t>
        </is>
      </c>
      <c r="C24" s="10" t="inlineStr">
        <is>
          <t>Manuel A. Mesones Muro</t>
        </is>
      </c>
      <c r="D24" s="10" t="inlineStr">
        <is>
          <t>IE7</t>
        </is>
      </c>
      <c r="E24" s="10" t="inlineStr">
        <is>
          <t>San Martín – El Dorado</t>
        </is>
      </c>
      <c r="F24" s="9" t="inlineStr">
        <is>
          <t>C</t>
        </is>
      </c>
      <c r="G24" s="10" t="inlineStr">
        <is>
          <t>Ebanistería</t>
        </is>
      </c>
      <c r="H24" s="9" t="inlineStr">
        <is>
          <t>SI</t>
        </is>
      </c>
      <c r="I24" s="9">
        <f>IF(H24="SI",2,1)</f>
        <v/>
      </c>
      <c r="J24" s="9">
        <f>PREMISAS!C11</f>
        <v/>
      </c>
      <c r="K24" s="9">
        <f>PREMISAS!C12</f>
        <v/>
      </c>
      <c r="L24" s="9">
        <f>PREMISAS!C9</f>
        <v/>
      </c>
      <c r="M24" s="11">
        <f>VLOOKUP(G24,PREMISAS!$B$16:$D$24,2,0)</f>
        <v/>
      </c>
      <c r="N24" s="11">
        <f>VLOOKUP(G24,PREMISAS!$B$16:$D$24,3,0)</f>
        <v/>
      </c>
      <c r="O24" s="11">
        <f>J24*L24*M24</f>
        <v/>
      </c>
      <c r="P24" s="11">
        <f>IF(H24="SI",K24*L24*N24,0)</f>
        <v/>
      </c>
      <c r="Q24" s="12">
        <f>O24+P24</f>
        <v/>
      </c>
      <c r="R24" s="11">
        <f>VLOOKUP(F24,PREMISAS!$B$28:$F$30,3,0)</f>
        <v/>
      </c>
      <c r="S24" s="9">
        <f>PREMISAS!C5+PREMISAS!C8</f>
        <v/>
      </c>
      <c r="T24" s="11">
        <f>R24*S24*I24</f>
        <v/>
      </c>
      <c r="U24" s="11">
        <f>VLOOKUP(F24,PREMISAS!$B$28:$F$30,4,0)</f>
        <v/>
      </c>
      <c r="V24" s="11">
        <f>U24*PREMISAS!C5*I24</f>
        <v/>
      </c>
      <c r="W24" s="11">
        <f>VLOOKUP(D24,PREMISAS!$B$34:$F$40,5,0)</f>
        <v/>
      </c>
      <c r="X24" s="11">
        <f>W24*I24</f>
        <v/>
      </c>
      <c r="Y24" s="11">
        <f>VLOOKUP(F24,PREMISAS!$B$28:$F$30,5,0)</f>
        <v/>
      </c>
      <c r="Z24" s="9">
        <f>PREMISAS!C10</f>
        <v/>
      </c>
      <c r="AA24" s="11">
        <f>Y24*Z24*I24</f>
        <v/>
      </c>
      <c r="AB24" s="11">
        <f>VLOOKUP(G24,PREMISAS!$B$44:$C$52,2,0)</f>
        <v/>
      </c>
      <c r="AC24" s="11">
        <f>PREMISAS!C56</f>
        <v/>
      </c>
      <c r="AD24" s="12">
        <f>Q24+T24+V24+X24+AA24+AB24+AC24+IF(F24="C",I24*PREMISAS!C57,0)</f>
        <v/>
      </c>
    </row>
    <row r="25" ht="20" customHeight="1">
      <c r="A25" s="17" t="inlineStr">
        <is>
          <t>TOTAL</t>
        </is>
      </c>
      <c r="B25" s="18" t="n"/>
      <c r="C25" s="18" t="n"/>
      <c r="D25" s="18" t="n"/>
      <c r="E25" s="18" t="n"/>
      <c r="F25" s="18" t="n"/>
      <c r="G25" s="18" t="n"/>
      <c r="H25" s="18" t="n"/>
      <c r="I25" s="19">
        <f>SUM(I4:I24)</f>
        <v/>
      </c>
      <c r="J25" s="19">
        <f>SUM(J4:J24)</f>
        <v/>
      </c>
      <c r="K25" s="19">
        <f>SUM(K4:K24)</f>
        <v/>
      </c>
      <c r="L25" s="19">
        <f>SUM(L4:L24)</f>
        <v/>
      </c>
      <c r="M25" s="19">
        <f>SUM(M4:M24)</f>
        <v/>
      </c>
      <c r="N25" s="19">
        <f>SUM(N4:N24)</f>
        <v/>
      </c>
      <c r="O25" s="19">
        <f>SUM(O4:O24)</f>
        <v/>
      </c>
      <c r="P25" s="19">
        <f>SUM(P4:P24)</f>
        <v/>
      </c>
      <c r="Q25" s="19">
        <f>SUM(Q4:Q24)</f>
        <v/>
      </c>
      <c r="R25" s="19">
        <f>SUM(R4:R24)</f>
        <v/>
      </c>
      <c r="S25" s="19">
        <f>SUM(S4:S24)</f>
        <v/>
      </c>
      <c r="T25" s="19">
        <f>SUM(T4:T24)</f>
        <v/>
      </c>
      <c r="U25" s="19">
        <f>SUM(U4:U24)</f>
        <v/>
      </c>
      <c r="V25" s="19">
        <f>SUM(V4:V24)</f>
        <v/>
      </c>
      <c r="W25" s="19">
        <f>SUM(W4:W24)</f>
        <v/>
      </c>
      <c r="X25" s="19">
        <f>SUM(X4:X24)</f>
        <v/>
      </c>
      <c r="Y25" s="19">
        <f>SUM(Y4:Y24)</f>
        <v/>
      </c>
      <c r="Z25" s="19">
        <f>SUM(Z4:Z24)</f>
        <v/>
      </c>
      <c r="AA25" s="19">
        <f>SUM(AA4:AA24)</f>
        <v/>
      </c>
      <c r="AB25" s="19">
        <f>SUM(AB4:AB24)</f>
        <v/>
      </c>
      <c r="AC25" s="19">
        <f>SUM(AC4:AC24)</f>
        <v/>
      </c>
      <c r="AD25" s="19">
        <f>SUM(AD4:AD24)</f>
        <v/>
      </c>
    </row>
  </sheetData>
  <mergeCells count="10">
    <mergeCell ref="Y2:AA2"/>
    <mergeCell ref="W2:X2"/>
    <mergeCell ref="M2:Q2"/>
    <mergeCell ref="R2:T2"/>
    <mergeCell ref="U2:V2"/>
    <mergeCell ref="AB2:AC2"/>
    <mergeCell ref="A2:H2"/>
    <mergeCell ref="AD2"/>
    <mergeCell ref="I2:L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8" customWidth="1" min="4" max="4"/>
    <col width="20" customWidth="1" min="5" max="5"/>
  </cols>
  <sheetData>
    <row r="1" ht="28" customHeight="1">
      <c r="B1" s="1" t="inlineStr">
        <is>
          <t>RESUMEN DE COSTOS POR IE</t>
        </is>
      </c>
    </row>
    <row r="3">
      <c r="B3" s="2" t="inlineStr">
        <is>
          <t>RESUMEN POR INSTITUCIÓN EDUCATIVA</t>
        </is>
      </c>
    </row>
    <row r="4">
      <c r="B4" s="3" t="inlineStr">
        <is>
          <t>IE Código</t>
        </is>
      </c>
      <c r="C4" s="3" t="inlineStr">
        <is>
          <t>IE Nombre</t>
        </is>
      </c>
      <c r="D4" s="3" t="inlineStr">
        <is>
          <t>Grupo</t>
        </is>
      </c>
      <c r="E4" s="3" t="inlineStr">
        <is>
          <t>TOTAL S/.</t>
        </is>
      </c>
    </row>
    <row r="5">
      <c r="B5" s="7" t="inlineStr">
        <is>
          <t>IE1</t>
        </is>
      </c>
      <c r="C5" s="7" t="inlineStr">
        <is>
          <t>16449 Eloy Soberón Flores</t>
        </is>
      </c>
      <c r="D5" s="7" t="inlineStr">
        <is>
          <t>C</t>
        </is>
      </c>
      <c r="E5" s="20">
        <f>SUMIF('DETALLE M4'!$D$4:$D$24,B5,'DETALLE M4'!$AD$4:$AD$24)</f>
        <v/>
      </c>
    </row>
    <row r="6">
      <c r="B6" s="8" t="inlineStr">
        <is>
          <t>IE2</t>
        </is>
      </c>
      <c r="C6" s="8" t="inlineStr">
        <is>
          <t>2026 Simón Bolívar</t>
        </is>
      </c>
      <c r="D6" s="8" t="inlineStr">
        <is>
          <t>A</t>
        </is>
      </c>
      <c r="E6" s="21">
        <f>SUMIF('DETALLE M4'!$D$4:$D$24,B6,'DETALLE M4'!$AD$4:$AD$24)</f>
        <v/>
      </c>
    </row>
    <row r="7">
      <c r="B7" s="7" t="inlineStr">
        <is>
          <t>IE3</t>
        </is>
      </c>
      <c r="C7" s="7" t="inlineStr">
        <is>
          <t>6049 Ricardo Palma</t>
        </is>
      </c>
      <c r="D7" s="7" t="inlineStr">
        <is>
          <t>A</t>
        </is>
      </c>
      <c r="E7" s="20">
        <f>SUMIF('DETALLE M4'!$D$4:$D$24,B7,'DETALLE M4'!$AD$4:$AD$24)</f>
        <v/>
      </c>
    </row>
    <row r="8">
      <c r="B8" s="8" t="inlineStr">
        <is>
          <t>IE4</t>
        </is>
      </c>
      <c r="C8" s="8" t="inlineStr">
        <is>
          <t>Francisco Irazola</t>
        </is>
      </c>
      <c r="D8" s="8" t="inlineStr">
        <is>
          <t>C</t>
        </is>
      </c>
      <c r="E8" s="21">
        <f>SUMIF('DETALLE M4'!$D$4:$D$24,B8,'DETALLE M4'!$AD$4:$AD$24)</f>
        <v/>
      </c>
    </row>
    <row r="9">
      <c r="B9" s="7" t="inlineStr">
        <is>
          <t>IE5</t>
        </is>
      </c>
      <c r="C9" s="7" t="inlineStr">
        <is>
          <t>Guillermo E. Billinghurst</t>
        </is>
      </c>
      <c r="D9" s="7" t="inlineStr">
        <is>
          <t>B</t>
        </is>
      </c>
      <c r="E9" s="20">
        <f>SUMIF('DETALLE M4'!$D$4:$D$24,B9,'DETALLE M4'!$AD$4:$AD$24)</f>
        <v/>
      </c>
    </row>
    <row r="10">
      <c r="B10" s="8" t="inlineStr">
        <is>
          <t>IE6</t>
        </is>
      </c>
      <c r="C10" s="8" t="inlineStr">
        <is>
          <t>José Granda</t>
        </is>
      </c>
      <c r="D10" s="8" t="inlineStr">
        <is>
          <t>A</t>
        </is>
      </c>
      <c r="E10" s="21">
        <f>SUMIF('DETALLE M4'!$D$4:$D$24,B10,'DETALLE M4'!$AD$4:$AD$24)</f>
        <v/>
      </c>
    </row>
    <row r="11">
      <c r="B11" s="7" t="inlineStr">
        <is>
          <t>IE7</t>
        </is>
      </c>
      <c r="C11" s="7" t="inlineStr">
        <is>
          <t>Manuel A. Mesones Muro</t>
        </is>
      </c>
      <c r="D11" s="7" t="inlineStr">
        <is>
          <t>C</t>
        </is>
      </c>
      <c r="E11" s="20">
        <f>SUMIF('DETALLE M4'!$D$4:$D$24,B11,'DETALLE M4'!$AD$4:$AD$24)</f>
        <v/>
      </c>
    </row>
    <row r="12">
      <c r="B12" s="17" t="inlineStr">
        <is>
          <t>TOTAL</t>
        </is>
      </c>
      <c r="C12" s="18" t="n"/>
      <c r="D12" s="18" t="n"/>
      <c r="E12" s="19">
        <f>SUM(E5:E11)</f>
        <v/>
      </c>
    </row>
  </sheetData>
  <mergeCells count="2">
    <mergeCell ref="B1:E1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20" customWidth="1" min="4" max="4"/>
  </cols>
  <sheetData>
    <row r="1" ht="28" customHeight="1">
      <c r="B1" s="1" t="inlineStr">
        <is>
          <t>RESUMEN DE COSTOS POR ESPECIALIDAD</t>
        </is>
      </c>
    </row>
    <row r="3">
      <c r="B3" s="2" t="inlineStr">
        <is>
          <t>RESUMEN POR ESPECIALIDAD</t>
        </is>
      </c>
    </row>
    <row r="4">
      <c r="B4" s="3" t="inlineStr">
        <is>
          <t>Especialidad</t>
        </is>
      </c>
      <c r="C4" s="3" t="inlineStr">
        <is>
          <t># Talleres</t>
        </is>
      </c>
      <c r="D4" s="3" t="inlineStr">
        <is>
          <t>TOTAL S/.</t>
        </is>
      </c>
    </row>
    <row r="5">
      <c r="B5" s="7" t="inlineStr">
        <is>
          <t>Cocina y Repostería</t>
        </is>
      </c>
      <c r="C5" s="22" t="n">
        <v>1</v>
      </c>
      <c r="D5" s="20">
        <f>SUMIF('DETALLE M4'!$G$4:$G$24,B5,'DETALLE M4'!$AD$4:$AD$24)</f>
        <v/>
      </c>
    </row>
    <row r="6">
      <c r="B6" s="8" t="inlineStr">
        <is>
          <t>Computación e Informática</t>
        </is>
      </c>
      <c r="C6" s="23" t="n">
        <v>4</v>
      </c>
      <c r="D6" s="21">
        <f>SUMIF('DETALLE M4'!$G$4:$G$24,B6,'DETALLE M4'!$AD$4:$AD$24)</f>
        <v/>
      </c>
    </row>
    <row r="7">
      <c r="B7" s="7" t="inlineStr">
        <is>
          <t>Construcciones Metálicas</t>
        </is>
      </c>
      <c r="C7" s="22" t="n">
        <v>1</v>
      </c>
      <c r="D7" s="20">
        <f>SUMIF('DETALLE M4'!$G$4:$G$24,B7,'DETALLE M4'!$AD$4:$AD$24)</f>
        <v/>
      </c>
    </row>
    <row r="8">
      <c r="B8" s="8" t="inlineStr">
        <is>
          <t>Ebanistería</t>
        </is>
      </c>
      <c r="C8" s="23" t="n">
        <v>2</v>
      </c>
      <c r="D8" s="21">
        <f>SUMIF('DETALLE M4'!$G$4:$G$24,B8,'DETALLE M4'!$AD$4:$AD$24)</f>
        <v/>
      </c>
    </row>
    <row r="9">
      <c r="B9" s="7" t="inlineStr">
        <is>
          <t>Electricidad</t>
        </is>
      </c>
      <c r="C9" s="22" t="n">
        <v>3</v>
      </c>
      <c r="D9" s="20">
        <f>SUMIF('DETALLE M4'!$G$4:$G$24,B9,'DETALLE M4'!$AD$4:$AD$24)</f>
        <v/>
      </c>
    </row>
    <row r="10">
      <c r="B10" s="8" t="inlineStr">
        <is>
          <t>Electrónica</t>
        </is>
      </c>
      <c r="C10" s="23" t="n">
        <v>1</v>
      </c>
      <c r="D10" s="21">
        <f>SUMIF('DETALLE M4'!$G$4:$G$24,B10,'DETALLE M4'!$AD$4:$AD$24)</f>
        <v/>
      </c>
    </row>
    <row r="11">
      <c r="B11" s="7" t="inlineStr">
        <is>
          <t>Industria Alimentaria</t>
        </is>
      </c>
      <c r="C11" s="22" t="n">
        <v>4</v>
      </c>
      <c r="D11" s="20">
        <f>SUMIF('DETALLE M4'!$G$4:$G$24,B11,'DETALLE M4'!$AD$4:$AD$24)</f>
        <v/>
      </c>
    </row>
    <row r="12">
      <c r="B12" s="8" t="inlineStr">
        <is>
          <t>Industria del Vestido</t>
        </is>
      </c>
      <c r="C12" s="23" t="n">
        <v>2</v>
      </c>
      <c r="D12" s="21">
        <f>SUMIF('DETALLE M4'!$G$4:$G$24,B12,'DETALLE M4'!$AD$4:$AD$24)</f>
        <v/>
      </c>
    </row>
    <row r="13">
      <c r="B13" s="7" t="inlineStr">
        <is>
          <t>Mecánica Automotriz</t>
        </is>
      </c>
      <c r="C13" s="22" t="n">
        <v>3</v>
      </c>
      <c r="D13" s="20">
        <f>SUMIF('DETALLE M4'!$G$4:$G$24,B13,'DETALLE M4'!$AD$4:$AD$24)</f>
        <v/>
      </c>
    </row>
    <row r="14">
      <c r="B14" s="17" t="inlineStr">
        <is>
          <t>TOTAL</t>
        </is>
      </c>
      <c r="C14" s="17">
        <f>SUM(C5:C13)</f>
        <v/>
      </c>
      <c r="D14" s="19">
        <f>SUM(D5:D13)</f>
        <v/>
      </c>
    </row>
  </sheetData>
  <mergeCells count="2">
    <mergeCell ref="B1:D1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2026-04-07T21:13:08Z</dcterms:created>
  <dcterms:modified xsi:type="dcterms:W3CDTF">2026-04-07T21:13:09Z</dcterms:modified>
</cp:coreProperties>
</file>