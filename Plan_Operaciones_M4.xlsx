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AS" sheetId="1" state="visible" r:id="rId1"/>
    <sheet name="CONSUMIBLES DETALLE" sheetId="2" state="visible" r:id="rId2"/>
    <sheet name="DETALLE M4" sheetId="3" state="visible" r:id="rId3"/>
    <sheet name="RESUMEN IE" sheetId="4" state="visible" r:id="rId4"/>
    <sheet name="RESUMEN ESPECIALIDA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S/. #,##0.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000000"/>
      <sz val="9"/>
    </font>
    <font>
      <name val="Calibri"/>
      <color rgb="00000000"/>
      <sz val="10"/>
    </font>
    <font>
      <name val="Calibri"/>
      <i val="1"/>
      <color rgb="00000000"/>
      <sz val="10"/>
    </font>
    <font>
      <name val="Calibri"/>
      <color rgb="00000000"/>
      <sz val="9"/>
    </font>
    <font>
      <b val="1"/>
      <color rgb="FF043941"/>
      <sz val="13"/>
    </font>
    <font>
      <b val="1"/>
      <color rgb="FFFFFFFF"/>
      <sz val="11"/>
    </font>
    <font>
      <b val="1"/>
      <color rgb="FFFFFFFF"/>
      <sz val="10"/>
    </font>
    <font>
      <b val="1"/>
      <color rgb="FF043941"/>
      <sz val="11"/>
    </font>
  </fonts>
  <fills count="14">
    <fill>
      <patternFill/>
    </fill>
    <fill>
      <patternFill patternType="gray125"/>
    </fill>
    <fill>
      <patternFill patternType="solid">
        <fgColor rgb="00043941"/>
      </patternFill>
    </fill>
    <fill>
      <patternFill patternType="solid">
        <fgColor rgb="000A7F8F"/>
      </patternFill>
    </fill>
    <fill>
      <patternFill patternType="solid">
        <fgColor rgb="00D0EFF4"/>
      </patternFill>
    </fill>
    <fill>
      <patternFill patternType="solid">
        <fgColor rgb="00FFFF99"/>
      </patternFill>
    </fill>
    <fill>
      <patternFill patternType="solid">
        <fgColor rgb="00E3F8FB"/>
      </patternFill>
    </fill>
    <fill>
      <patternFill patternType="solid">
        <fgColor rgb="00EAF7F9"/>
      </patternFill>
    </fill>
    <fill>
      <patternFill patternType="solid">
        <fgColor rgb="00FFFFFF"/>
      </patternFill>
    </fill>
    <fill>
      <patternFill patternType="solid">
        <fgColor rgb="FF043941"/>
      </patternFill>
    </fill>
    <fill>
      <patternFill patternType="solid">
        <fgColor rgb="FF0A7F8F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02D47E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164" fontId="6" fillId="7" borderId="1" applyAlignment="1" pivotButton="0" quotePrefix="0" xfId="0">
      <alignment horizontal="right" vertical="center"/>
    </xf>
    <xf numFmtId="164" fontId="3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164" fontId="6" fillId="8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2" fillId="2" borderId="1" pivotButton="0" quotePrefix="0" xfId="0"/>
    <xf numFmtId="164" fontId="2" fillId="2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9" borderId="0" applyAlignment="1" pivotButton="0" quotePrefix="0" xfId="0">
      <alignment horizontal="left" vertical="center"/>
    </xf>
    <xf numFmtId="0" fontId="9" fillId="10" borderId="2" applyAlignment="1" pivotButton="0" quotePrefix="0" xfId="0">
      <alignment horizontal="center" vertical="center"/>
    </xf>
    <xf numFmtId="0" fontId="0" fillId="11" borderId="2" applyAlignment="1" pivotButton="0" quotePrefix="0" xfId="0">
      <alignment horizontal="left" vertical="center"/>
    </xf>
    <xf numFmtId="0" fontId="0" fillId="11" borderId="2" applyAlignment="1" pivotButton="0" quotePrefix="0" xfId="0">
      <alignment horizontal="center" vertical="center"/>
    </xf>
    <xf numFmtId="2" fontId="0" fillId="11" borderId="2" applyAlignment="1" pivotButton="0" quotePrefix="0" xfId="0">
      <alignment horizontal="center" vertical="center"/>
    </xf>
    <xf numFmtId="4" fontId="0" fillId="11" borderId="2" applyAlignment="1" pivotButton="0" quotePrefix="0" xfId="0">
      <alignment horizontal="right" vertical="center"/>
    </xf>
    <xf numFmtId="0" fontId="0" fillId="12" borderId="2" applyAlignment="1" pivotButton="0" quotePrefix="0" xfId="0">
      <alignment horizontal="left" vertical="center"/>
    </xf>
    <xf numFmtId="0" fontId="0" fillId="12" borderId="2" applyAlignment="1" pivotButton="0" quotePrefix="0" xfId="0">
      <alignment horizontal="center" vertical="center"/>
    </xf>
    <xf numFmtId="2" fontId="0" fillId="12" borderId="2" applyAlignment="1" pivotButton="0" quotePrefix="0" xfId="0">
      <alignment horizontal="center" vertical="center"/>
    </xf>
    <xf numFmtId="4" fontId="0" fillId="12" borderId="2" applyAlignment="1" pivotButton="0" quotePrefix="0" xfId="0">
      <alignment horizontal="right" vertical="center"/>
    </xf>
    <xf numFmtId="0" fontId="10" fillId="13" borderId="2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/>
    </xf>
    <xf numFmtId="4" fontId="10" fillId="13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4" fontId="0" fillId="11" borderId="2" applyAlignment="1" pivotButton="0" quotePrefix="0" xfId="0">
      <alignment horizontal="center" vertical="center"/>
    </xf>
    <xf numFmtId="4" fontId="0" fillId="12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4" fontId="8" fillId="9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5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8" customWidth="1" min="3" max="3"/>
    <col width="18" customWidth="1" min="4" max="4"/>
    <col width="22" customWidth="1" min="5" max="5"/>
    <col width="22" customWidth="1" min="6" max="6"/>
  </cols>
  <sheetData>
    <row r="1" ht="28" customHeight="1">
      <c r="B1" s="1" t="inlineStr">
        <is>
          <t>PREMISAS DEL PLAN DE OPERACIONES — M4</t>
        </is>
      </c>
    </row>
    <row r="3">
      <c r="B3" s="2" t="inlineStr">
        <is>
          <t>TABLA 1 — PARÁMETROS DE TIEMPO</t>
        </is>
      </c>
    </row>
    <row r="4">
      <c r="B4" s="3" t="inlineStr">
        <is>
          <t>Parámetro</t>
        </is>
      </c>
      <c r="C4" s="3" t="inlineStr">
        <is>
          <t>Valor</t>
        </is>
      </c>
    </row>
    <row r="5">
      <c r="B5" s="4" t="inlineStr">
        <is>
          <t>Días capacitación presencial</t>
        </is>
      </c>
      <c r="C5" s="5" t="n">
        <v>8</v>
      </c>
    </row>
    <row r="6">
      <c r="B6" s="4" t="inlineStr">
        <is>
          <t>Horas por día</t>
        </is>
      </c>
      <c r="C6" s="5" t="n">
        <v>5</v>
      </c>
    </row>
    <row r="7">
      <c r="B7" s="4" t="inlineStr">
        <is>
          <t>Días preparación técnico lead</t>
        </is>
      </c>
      <c r="C7" s="5" t="n">
        <v>2</v>
      </c>
    </row>
    <row r="8">
      <c r="B8" s="4" t="inlineStr">
        <is>
          <t>Días viaje ida+vuelta</t>
        </is>
      </c>
      <c r="C8" s="5" t="n">
        <v>2</v>
      </c>
    </row>
    <row r="9">
      <c r="B9" s="4" t="inlineStr">
        <is>
          <t>HH/día facturables</t>
        </is>
      </c>
      <c r="C9" s="5" t="n">
        <v>8</v>
      </c>
    </row>
    <row r="10">
      <c r="B10" s="4" t="inlineStr">
        <is>
          <t>Noches hospedaje</t>
        </is>
      </c>
      <c r="C10" s="5" t="n">
        <v>9</v>
      </c>
    </row>
    <row r="11">
      <c r="B11" s="4" t="inlineStr">
        <is>
          <t>Total días facturables LEAD (cap+prep+viaje)</t>
        </is>
      </c>
      <c r="C11" s="6">
        <f>C5+C7+C8</f>
        <v/>
      </c>
    </row>
    <row r="12">
      <c r="B12" s="4" t="inlineStr">
        <is>
          <t>Total días facturables APOYO (cap+viaje)</t>
        </is>
      </c>
      <c r="C12" s="6">
        <f>C5+C8</f>
        <v/>
      </c>
    </row>
    <row r="14">
      <c r="B14" s="2" t="inlineStr">
        <is>
          <t>TABLA 2 — TARIFAS TÉCNICOS (S/. por hora)</t>
        </is>
      </c>
    </row>
    <row r="15">
      <c r="B15" s="3" t="inlineStr">
        <is>
          <t>Especialidad</t>
        </is>
      </c>
      <c r="C15" s="3" t="inlineStr">
        <is>
          <t>Tarifa Lead</t>
        </is>
      </c>
      <c r="D15" s="3" t="inlineStr">
        <is>
          <t>Tarifa Apoyo</t>
        </is>
      </c>
    </row>
    <row r="16">
      <c r="B16" s="7" t="inlineStr">
        <is>
          <t>Cocina y Repostería</t>
        </is>
      </c>
      <c r="C16" s="5" t="n">
        <v>25</v>
      </c>
      <c r="D16" s="5" t="n">
        <v>18</v>
      </c>
    </row>
    <row r="17">
      <c r="B17" s="8" t="inlineStr">
        <is>
          <t>Computación e Informática</t>
        </is>
      </c>
      <c r="C17" s="5" t="n">
        <v>22</v>
      </c>
      <c r="D17" s="5" t="n">
        <v>15</v>
      </c>
    </row>
    <row r="18">
      <c r="B18" s="7" t="inlineStr">
        <is>
          <t>Construcciones Metálicas</t>
        </is>
      </c>
      <c r="C18" s="5" t="n">
        <v>32</v>
      </c>
      <c r="D18" s="5" t="n">
        <v>23</v>
      </c>
    </row>
    <row r="19">
      <c r="B19" s="8" t="inlineStr">
        <is>
          <t>Ebanistería</t>
        </is>
      </c>
      <c r="C19" s="5" t="n">
        <v>28</v>
      </c>
      <c r="D19" s="5" t="n">
        <v>20</v>
      </c>
    </row>
    <row r="20">
      <c r="B20" s="7" t="inlineStr">
        <is>
          <t>Electricidad</t>
        </is>
      </c>
      <c r="C20" s="5" t="n">
        <v>28</v>
      </c>
      <c r="D20" s="5" t="n">
        <v>20</v>
      </c>
    </row>
    <row r="21">
      <c r="B21" s="8" t="inlineStr">
        <is>
          <t>Electrónica</t>
        </is>
      </c>
      <c r="C21" s="5" t="n">
        <v>32</v>
      </c>
      <c r="D21" s="5" t="n">
        <v>23</v>
      </c>
    </row>
    <row r="22">
      <c r="B22" s="7" t="inlineStr">
        <is>
          <t>Industria Alimentaria</t>
        </is>
      </c>
      <c r="C22" s="5" t="n">
        <v>22</v>
      </c>
      <c r="D22" s="5" t="n">
        <v>15</v>
      </c>
    </row>
    <row r="23">
      <c r="B23" s="8" t="inlineStr">
        <is>
          <t>Industria del Vestido</t>
        </is>
      </c>
      <c r="C23" s="5" t="n">
        <v>22</v>
      </c>
      <c r="D23" s="5" t="n">
        <v>15</v>
      </c>
    </row>
    <row r="24">
      <c r="B24" s="7" t="inlineStr">
        <is>
          <t>Mecánica Automotriz</t>
        </is>
      </c>
      <c r="C24" s="5" t="n">
        <v>32</v>
      </c>
      <c r="D24" s="5" t="n">
        <v>23</v>
      </c>
    </row>
    <row r="26">
      <c r="B26" s="2" t="inlineStr">
        <is>
          <t>TABLA 3 — VIÁTICOS Y TRANSPORTE DIARIO (por persona)</t>
        </is>
      </c>
    </row>
    <row r="27">
      <c r="B27" s="3" t="inlineStr">
        <is>
          <t>Grupo</t>
        </is>
      </c>
      <c r="C27" s="3" t="inlineStr">
        <is>
          <t>Descripción</t>
        </is>
      </c>
      <c r="D27" s="3" t="inlineStr">
        <is>
          <t>Viático/día</t>
        </is>
      </c>
      <c r="E27" s="3" t="inlineStr">
        <is>
          <t>Transp.interno/día</t>
        </is>
      </c>
      <c r="F27" s="3" t="inlineStr">
        <is>
          <t>Noche hospedaje</t>
        </is>
      </c>
    </row>
    <row r="28">
      <c r="B28" s="7" t="inlineStr">
        <is>
          <t>A</t>
        </is>
      </c>
      <c r="C28" s="7" t="inlineStr">
        <is>
          <t>Lima Metropolitana</t>
        </is>
      </c>
      <c r="D28" s="5" t="n">
        <v>60</v>
      </c>
      <c r="E28" s="5" t="n">
        <v>40</v>
      </c>
      <c r="F28" s="5" t="n">
        <v>0</v>
      </c>
    </row>
    <row r="29">
      <c r="B29" s="8" t="inlineStr">
        <is>
          <t>B</t>
        </is>
      </c>
      <c r="C29" s="8" t="inlineStr">
        <is>
          <t>Lima Provincia</t>
        </is>
      </c>
      <c r="D29" s="5" t="n">
        <v>120</v>
      </c>
      <c r="E29" s="5" t="n">
        <v>20</v>
      </c>
      <c r="F29" s="5" t="n">
        <v>120</v>
      </c>
    </row>
    <row r="30">
      <c r="B30" s="7" t="inlineStr">
        <is>
          <t>C</t>
        </is>
      </c>
      <c r="C30" s="7" t="inlineStr">
        <is>
          <t>Región lejana</t>
        </is>
      </c>
      <c r="D30" s="5" t="n">
        <v>160</v>
      </c>
      <c r="E30" s="5" t="n">
        <v>25</v>
      </c>
      <c r="F30" s="5" t="n">
        <v>100</v>
      </c>
    </row>
    <row r="32">
      <c r="B32" s="2" t="inlineStr">
        <is>
          <t>TABLA 4 — TRASLADO POR IE (por persona ida+vuelta)</t>
        </is>
      </c>
    </row>
    <row r="33">
      <c r="B33" s="3" t="inlineStr">
        <is>
          <t>IE Código</t>
        </is>
      </c>
      <c r="C33" s="3" t="inlineStr">
        <is>
          <t>IE Nombre</t>
        </is>
      </c>
      <c r="D33" s="3" t="inlineStr">
        <is>
          <t>Ruta</t>
        </is>
      </c>
      <c r="E33" s="3" t="inlineStr">
        <is>
          <t>Medio</t>
        </is>
      </c>
      <c r="F33" s="3" t="inlineStr">
        <is>
          <t>Costo S/.</t>
        </is>
      </c>
    </row>
    <row r="34">
      <c r="B34" s="7" t="inlineStr">
        <is>
          <t>IE1</t>
        </is>
      </c>
      <c r="C34" s="7" t="inlineStr">
        <is>
          <t>16449 Eloy Soberón Flores</t>
        </is>
      </c>
      <c r="D34" s="7" t="inlineStr">
        <is>
          <t>Lima–Jaén</t>
        </is>
      </c>
      <c r="E34" s="7" t="inlineStr">
        <is>
          <t>Vuelo</t>
        </is>
      </c>
      <c r="F34" s="5" t="n">
        <v>900</v>
      </c>
    </row>
    <row r="35">
      <c r="B35" s="8" t="inlineStr">
        <is>
          <t>IE2</t>
        </is>
      </c>
      <c r="C35" s="8" t="inlineStr">
        <is>
          <t>2026 Simón Bolívar</t>
        </is>
      </c>
      <c r="D35" s="8" t="inlineStr">
        <is>
          <t>Lima–Comas</t>
        </is>
      </c>
      <c r="E35" s="8" t="inlineStr">
        <is>
          <t>Propio</t>
        </is>
      </c>
      <c r="F35" s="5" t="n">
        <v>0</v>
      </c>
    </row>
    <row r="36">
      <c r="B36" s="7" t="inlineStr">
        <is>
          <t>IE3</t>
        </is>
      </c>
      <c r="C36" s="7" t="inlineStr">
        <is>
          <t>6049 Ricardo Palma</t>
        </is>
      </c>
      <c r="D36" s="7" t="inlineStr">
        <is>
          <t>Lima–Surquillo</t>
        </is>
      </c>
      <c r="E36" s="7" t="inlineStr">
        <is>
          <t>Propio</t>
        </is>
      </c>
      <c r="F36" s="5" t="n">
        <v>0</v>
      </c>
    </row>
    <row r="37">
      <c r="B37" s="8" t="inlineStr">
        <is>
          <t>IE4</t>
        </is>
      </c>
      <c r="C37" s="8" t="inlineStr">
        <is>
          <t>Francisco Irazola</t>
        </is>
      </c>
      <c r="D37" s="8" t="inlineStr">
        <is>
          <t>Lima–Satipo</t>
        </is>
      </c>
      <c r="E37" s="8" t="inlineStr">
        <is>
          <t>Bus/Van</t>
        </is>
      </c>
      <c r="F37" s="5" t="n">
        <v>180</v>
      </c>
    </row>
    <row r="38">
      <c r="B38" s="7" t="inlineStr">
        <is>
          <t>IE5</t>
        </is>
      </c>
      <c r="C38" s="7" t="inlineStr">
        <is>
          <t>Guillermo E. Billinghurst</t>
        </is>
      </c>
      <c r="D38" s="7" t="inlineStr">
        <is>
          <t>Lima–Barranca</t>
        </is>
      </c>
      <c r="E38" s="7" t="inlineStr">
        <is>
          <t>Bus</t>
        </is>
      </c>
      <c r="F38" s="5" t="n">
        <v>60</v>
      </c>
    </row>
    <row r="39">
      <c r="B39" s="8" t="inlineStr">
        <is>
          <t>IE6</t>
        </is>
      </c>
      <c r="C39" s="8" t="inlineStr">
        <is>
          <t>José Granda</t>
        </is>
      </c>
      <c r="D39" s="8" t="inlineStr">
        <is>
          <t>Lima–SMP</t>
        </is>
      </c>
      <c r="E39" s="8" t="inlineStr">
        <is>
          <t>Propio</t>
        </is>
      </c>
      <c r="F39" s="5" t="n">
        <v>0</v>
      </c>
    </row>
    <row r="40">
      <c r="B40" s="7" t="inlineStr">
        <is>
          <t>IE7</t>
        </is>
      </c>
      <c r="C40" s="7" t="inlineStr">
        <is>
          <t>Manuel A. Mesones Muro</t>
        </is>
      </c>
      <c r="D40" s="7" t="inlineStr">
        <is>
          <t>Lima–Tarapoto+Bus</t>
        </is>
      </c>
      <c r="E40" s="7" t="inlineStr">
        <is>
          <t>Vuelo+Bus</t>
        </is>
      </c>
      <c r="F40" s="5" t="n">
        <v>750</v>
      </c>
    </row>
    <row r="42">
      <c r="B42" s="2" t="inlineStr">
        <is>
          <t>TABLA 5 — CONSUMIBLES POR ESPECIALIDAD (por taller)</t>
        </is>
      </c>
    </row>
    <row r="43">
      <c r="B43" s="3" t="inlineStr">
        <is>
          <t>Especialidad</t>
        </is>
      </c>
      <c r="C43" s="3" t="inlineStr">
        <is>
          <t>Consumibles S/.</t>
        </is>
      </c>
    </row>
    <row r="44">
      <c r="B44" s="7" t="inlineStr">
        <is>
          <t>Cocina y Repostería</t>
        </is>
      </c>
      <c r="C44" s="5">
        <f>'CONSUMIBLES DETALLE'!F17</f>
        <v/>
      </c>
    </row>
    <row r="45">
      <c r="B45" s="8" t="inlineStr">
        <is>
          <t>Computación e Informática</t>
        </is>
      </c>
      <c r="C45" s="5">
        <f>'CONSUMIBLES DETALLE'!F29</f>
        <v/>
      </c>
    </row>
    <row r="46">
      <c r="B46" s="7" t="inlineStr">
        <is>
          <t>Construcciones Metálicas</t>
        </is>
      </c>
      <c r="C46" s="5">
        <f>'CONSUMIBLES DETALLE'!F45</f>
        <v/>
      </c>
    </row>
    <row r="47">
      <c r="B47" s="8" t="inlineStr">
        <is>
          <t>Ebanistería</t>
        </is>
      </c>
      <c r="C47" s="5">
        <f>'CONSUMIBLES DETALLE'!F62</f>
        <v/>
      </c>
    </row>
    <row r="48">
      <c r="B48" s="7" t="inlineStr">
        <is>
          <t>Electricidad</t>
        </is>
      </c>
      <c r="C48" s="5">
        <f>'CONSUMIBLES DETALLE'!F77</f>
        <v/>
      </c>
    </row>
    <row r="49">
      <c r="B49" s="8" t="inlineStr">
        <is>
          <t>Electrónica</t>
        </is>
      </c>
      <c r="C49" s="5">
        <f>'CONSUMIBLES DETALLE'!F93</f>
        <v/>
      </c>
    </row>
    <row r="50">
      <c r="B50" s="7" t="inlineStr">
        <is>
          <t>Industria Alimentaria</t>
        </is>
      </c>
      <c r="C50" s="5">
        <f>'CONSUMIBLES DETALLE'!F108</f>
        <v/>
      </c>
    </row>
    <row r="51">
      <c r="B51" s="8" t="inlineStr">
        <is>
          <t>Industria del Vestido</t>
        </is>
      </c>
      <c r="C51" s="5">
        <f>'CONSUMIBLES DETALLE'!F123</f>
        <v/>
      </c>
    </row>
    <row r="52">
      <c r="B52" s="7" t="inlineStr">
        <is>
          <t>Mecánica Automotriz</t>
        </is>
      </c>
      <c r="C52" s="5">
        <f>'CONSUMIBLES DETALLE'!F138</f>
        <v/>
      </c>
    </row>
    <row r="54">
      <c r="B54" s="2" t="inlineStr">
        <is>
          <t>TABLA 6 — OTROS</t>
        </is>
      </c>
    </row>
    <row r="55">
      <c r="B55" s="3" t="inlineStr">
        <is>
          <t>Concepto</t>
        </is>
      </c>
      <c r="C55" s="3" t="inlineStr">
        <is>
          <t>Monto S/.</t>
        </is>
      </c>
    </row>
    <row r="56">
      <c r="B56" s="4" t="inlineStr">
        <is>
          <t>Materiales didácticos por taller</t>
        </is>
      </c>
      <c r="C56" s="5" t="n">
        <v>150</v>
      </c>
    </row>
    <row r="57">
      <c r="B57" s="4" t="inlineStr">
        <is>
          <t>Seguro de viaje por técnico (solo Grupo C)</t>
        </is>
      </c>
      <c r="C57" s="5" t="n">
        <v>80</v>
      </c>
    </row>
  </sheetData>
  <mergeCells count="7">
    <mergeCell ref="B26:E26"/>
    <mergeCell ref="B3:D3"/>
    <mergeCell ref="B54:C54"/>
    <mergeCell ref="B14:D14"/>
    <mergeCell ref="B42:C42"/>
    <mergeCell ref="B1:F1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0" customWidth="1" min="4" max="4"/>
    <col width="16" customWidth="1" min="5" max="5"/>
    <col width="16" customWidth="1" min="6" max="6"/>
  </cols>
  <sheetData>
    <row r="1" ht="28" customHeight="1">
      <c r="A1" s="24" t="inlineStr">
        <is>
          <t>CONSUMIBLES DETALLE — COSTO UNITARIO POR EQUIPO Y ESPECIALIDAD</t>
        </is>
      </c>
    </row>
    <row r="2" ht="22" customHeight="1">
      <c r="A2" s="25" t="inlineStr">
        <is>
          <t>COCINA Y REPOSTERÍA</t>
        </is>
      </c>
      <c r="B2" s="25" t="n"/>
      <c r="C2" s="25" t="n"/>
      <c r="D2" s="25" t="n"/>
      <c r="E2" s="25" t="n"/>
      <c r="F2" s="25" t="n"/>
    </row>
    <row r="3">
      <c r="A3" s="26" t="inlineStr">
        <is>
          <t>Equipo</t>
        </is>
      </c>
      <c r="B3" s="26" t="inlineStr">
        <is>
          <t>Consumible</t>
        </is>
      </c>
      <c r="C3" s="26" t="inlineStr">
        <is>
          <t>Unidad</t>
        </is>
      </c>
      <c r="D3" s="26" t="inlineStr">
        <is>
          <t>Cantidad</t>
        </is>
      </c>
      <c r="E3" s="26" t="inlineStr">
        <is>
          <t>Precio Unit. (S/.)</t>
        </is>
      </c>
      <c r="F3" s="26" t="inlineStr">
        <is>
          <t>Subtotal</t>
        </is>
      </c>
    </row>
    <row r="4">
      <c r="A4" s="27" t="inlineStr">
        <is>
          <t>Horno convector</t>
        </is>
      </c>
      <c r="B4" s="27" t="inlineStr">
        <is>
          <t>Gas GLP (uso operativo)</t>
        </is>
      </c>
      <c r="C4" s="28" t="inlineStr">
        <is>
          <t>balón 10kg</t>
        </is>
      </c>
      <c r="D4" s="29" t="n">
        <v>0.5</v>
      </c>
      <c r="E4" s="30" t="n">
        <v>42</v>
      </c>
      <c r="F4" s="30">
        <f>D4*E4</f>
        <v/>
      </c>
    </row>
    <row r="5">
      <c r="A5" s="31" t="inlineStr">
        <is>
          <t>Batidora industrial</t>
        </is>
      </c>
      <c r="B5" s="31" t="inlineStr">
        <is>
          <t>Harina sin preparar</t>
        </is>
      </c>
      <c r="C5" s="32" t="inlineStr">
        <is>
          <t>kg</t>
        </is>
      </c>
      <c r="D5" s="33" t="n">
        <v>8</v>
      </c>
      <c r="E5" s="34" t="n">
        <v>3.2</v>
      </c>
      <c r="F5" s="34">
        <f>D5*E5</f>
        <v/>
      </c>
    </row>
    <row r="6">
      <c r="A6" s="27" t="inlineStr">
        <is>
          <t>Batidora industrial</t>
        </is>
      </c>
      <c r="B6" s="27" t="inlineStr">
        <is>
          <t>Azúcar blanca</t>
        </is>
      </c>
      <c r="C6" s="28" t="inlineStr">
        <is>
          <t>kg</t>
        </is>
      </c>
      <c r="D6" s="29" t="n">
        <v>4</v>
      </c>
      <c r="E6" s="30" t="n">
        <v>4.5</v>
      </c>
      <c r="F6" s="30">
        <f>D6*E6</f>
        <v/>
      </c>
    </row>
    <row r="7">
      <c r="A7" s="31" t="inlineStr">
        <is>
          <t>Batidora industrial</t>
        </is>
      </c>
      <c r="B7" s="31" t="inlineStr">
        <is>
          <t>Mantequilla</t>
        </is>
      </c>
      <c r="C7" s="32" t="inlineStr">
        <is>
          <t>kg</t>
        </is>
      </c>
      <c r="D7" s="33" t="n">
        <v>2</v>
      </c>
      <c r="E7" s="34" t="n">
        <v>18</v>
      </c>
      <c r="F7" s="34">
        <f>D7*E7</f>
        <v/>
      </c>
    </row>
    <row r="8">
      <c r="A8" s="27" t="inlineStr">
        <is>
          <t>Batidora industrial</t>
        </is>
      </c>
      <c r="B8" s="27" t="inlineStr">
        <is>
          <t>Huevos</t>
        </is>
      </c>
      <c r="C8" s="28" t="inlineStr">
        <is>
          <t>docena</t>
        </is>
      </c>
      <c r="D8" s="29" t="n">
        <v>3</v>
      </c>
      <c r="E8" s="30" t="n">
        <v>7</v>
      </c>
      <c r="F8" s="30">
        <f>D8*E8</f>
        <v/>
      </c>
    </row>
    <row r="9">
      <c r="A9" s="31" t="inlineStr">
        <is>
          <t>Cocina industrial</t>
        </is>
      </c>
      <c r="B9" s="31" t="inlineStr">
        <is>
          <t>Aceite vegetal</t>
        </is>
      </c>
      <c r="C9" s="32" t="inlineStr">
        <is>
          <t>litro</t>
        </is>
      </c>
      <c r="D9" s="33" t="n">
        <v>2</v>
      </c>
      <c r="E9" s="34" t="n">
        <v>8</v>
      </c>
      <c r="F9" s="34">
        <f>D9*E9</f>
        <v/>
      </c>
    </row>
    <row r="10">
      <c r="A10" s="27" t="inlineStr">
        <is>
          <t>Cocina industrial</t>
        </is>
      </c>
      <c r="B10" s="27" t="inlineStr">
        <is>
          <t>Sal fina</t>
        </is>
      </c>
      <c r="C10" s="28" t="inlineStr">
        <is>
          <t>kg</t>
        </is>
      </c>
      <c r="D10" s="29" t="n">
        <v>1</v>
      </c>
      <c r="E10" s="30" t="n">
        <v>2</v>
      </c>
      <c r="F10" s="30">
        <f>D10*E10</f>
        <v/>
      </c>
    </row>
    <row r="11">
      <c r="A11" s="31" t="inlineStr">
        <is>
          <t>Cocina industrial</t>
        </is>
      </c>
      <c r="B11" s="31" t="inlineStr">
        <is>
          <t>Especias básicas (kit)</t>
        </is>
      </c>
      <c r="C11" s="32" t="inlineStr">
        <is>
          <t>kit</t>
        </is>
      </c>
      <c r="D11" s="33" t="n">
        <v>1</v>
      </c>
      <c r="E11" s="34" t="n">
        <v>25</v>
      </c>
      <c r="F11" s="34">
        <f>D11*E11</f>
        <v/>
      </c>
    </row>
    <row r="12">
      <c r="A12" s="27" t="inlineStr">
        <is>
          <t>Selladora/envasadora</t>
        </is>
      </c>
      <c r="B12" s="27" t="inlineStr">
        <is>
          <t>Bolsas de sellado 20x30cm</t>
        </is>
      </c>
      <c r="C12" s="28" t="inlineStr">
        <is>
          <t>paquete x100</t>
        </is>
      </c>
      <c r="D12" s="29" t="n">
        <v>1</v>
      </c>
      <c r="E12" s="30" t="n">
        <v>28</v>
      </c>
      <c r="F12" s="30">
        <f>D12*E12</f>
        <v/>
      </c>
    </row>
    <row r="13">
      <c r="A13" s="31" t="inlineStr">
        <is>
          <t>Selladora/envasadora</t>
        </is>
      </c>
      <c r="B13" s="31" t="inlineStr">
        <is>
          <t>Etiquetas adhesivas</t>
        </is>
      </c>
      <c r="C13" s="32" t="inlineStr">
        <is>
          <t>rollo x500</t>
        </is>
      </c>
      <c r="D13" s="33" t="n">
        <v>1</v>
      </c>
      <c r="E13" s="34" t="n">
        <v>15</v>
      </c>
      <c r="F13" s="34">
        <f>D13*E13</f>
        <v/>
      </c>
    </row>
    <row r="14">
      <c r="A14" s="27" t="inlineStr">
        <is>
          <t>Mesas de trabajo</t>
        </is>
      </c>
      <c r="B14" s="27" t="inlineStr">
        <is>
          <t>Guantes descartables</t>
        </is>
      </c>
      <c r="C14" s="28" t="inlineStr">
        <is>
          <t>caja x100</t>
        </is>
      </c>
      <c r="D14" s="29" t="n">
        <v>0.5</v>
      </c>
      <c r="E14" s="30" t="n">
        <v>18</v>
      </c>
      <c r="F14" s="30">
        <f>D14*E14</f>
        <v/>
      </c>
    </row>
    <row r="15">
      <c r="A15" s="31" t="inlineStr">
        <is>
          <t>Mesas de trabajo</t>
        </is>
      </c>
      <c r="B15" s="31" t="inlineStr">
        <is>
          <t>Gorros descartables</t>
        </is>
      </c>
      <c r="C15" s="32" t="inlineStr">
        <is>
          <t>paquete x100</t>
        </is>
      </c>
      <c r="D15" s="33" t="n">
        <v>0.5</v>
      </c>
      <c r="E15" s="34" t="n">
        <v>12</v>
      </c>
      <c r="F15" s="34">
        <f>D15*E15</f>
        <v/>
      </c>
    </row>
    <row r="16">
      <c r="A16" s="27" t="inlineStr">
        <is>
          <t>Mesas de trabajo</t>
        </is>
      </c>
      <c r="B16" s="27" t="inlineStr">
        <is>
          <t>Mascarillas</t>
        </is>
      </c>
      <c r="C16" s="28" t="inlineStr">
        <is>
          <t>paquete x50</t>
        </is>
      </c>
      <c r="D16" s="29" t="n">
        <v>1</v>
      </c>
      <c r="E16" s="30" t="n">
        <v>12</v>
      </c>
      <c r="F16" s="30">
        <f>D16*E16</f>
        <v/>
      </c>
    </row>
    <row r="17" ht="20" customHeight="1">
      <c r="A17" s="35" t="inlineStr">
        <is>
          <t>TOTAL</t>
        </is>
      </c>
      <c r="B17" s="35" t="inlineStr">
        <is>
          <t>Cocina y Repostería</t>
        </is>
      </c>
      <c r="C17" s="36" t="n"/>
      <c r="D17" s="36" t="n"/>
      <c r="E17" s="36" t="n"/>
      <c r="F17" s="37">
        <f>SUM(F4:F16)</f>
        <v/>
      </c>
    </row>
    <row r="19" ht="22" customHeight="1">
      <c r="A19" s="25" t="inlineStr">
        <is>
          <t>COMPUTACIÓN E INFORMÁTICA</t>
        </is>
      </c>
      <c r="B19" s="25" t="n"/>
      <c r="C19" s="25" t="n"/>
      <c r="D19" s="25" t="n"/>
      <c r="E19" s="25" t="n"/>
      <c r="F19" s="25" t="n"/>
    </row>
    <row r="20">
      <c r="A20" s="26" t="inlineStr">
        <is>
          <t>Equipo</t>
        </is>
      </c>
      <c r="B20" s="26" t="inlineStr">
        <is>
          <t>Consumible</t>
        </is>
      </c>
      <c r="C20" s="26" t="inlineStr">
        <is>
          <t>Unidad</t>
        </is>
      </c>
      <c r="D20" s="26" t="inlineStr">
        <is>
          <t>Cantidad</t>
        </is>
      </c>
      <c r="E20" s="26" t="inlineStr">
        <is>
          <t>Precio Unit. (S/.)</t>
        </is>
      </c>
      <c r="F20" s="26" t="inlineStr">
        <is>
          <t>Subtotal</t>
        </is>
      </c>
    </row>
    <row r="21">
      <c r="A21" s="27" t="inlineStr">
        <is>
          <t>PCs / Laptops</t>
        </is>
      </c>
      <c r="B21" s="27" t="inlineStr">
        <is>
          <t>Pasta térmica</t>
        </is>
      </c>
      <c r="C21" s="28" t="inlineStr">
        <is>
          <t>tubo 100g</t>
        </is>
      </c>
      <c r="D21" s="29" t="n">
        <v>3</v>
      </c>
      <c r="E21" s="30" t="n">
        <v>18</v>
      </c>
      <c r="F21" s="30">
        <f>D21*E21</f>
        <v/>
      </c>
    </row>
    <row r="22">
      <c r="A22" s="31" t="inlineStr">
        <is>
          <t>PCs / Laptops</t>
        </is>
      </c>
      <c r="B22" s="31" t="inlineStr">
        <is>
          <t>Alcohol isopropílico 99%</t>
        </is>
      </c>
      <c r="C22" s="32" t="inlineStr">
        <is>
          <t>frasco 250ml</t>
        </is>
      </c>
      <c r="D22" s="33" t="n">
        <v>2</v>
      </c>
      <c r="E22" s="34" t="n">
        <v>12</v>
      </c>
      <c r="F22" s="34">
        <f>D22*E22</f>
        <v/>
      </c>
    </row>
    <row r="23">
      <c r="A23" s="27" t="inlineStr">
        <is>
          <t>Switch / Router</t>
        </is>
      </c>
      <c r="B23" s="27" t="inlineStr">
        <is>
          <t>Cable UTP Cat6</t>
        </is>
      </c>
      <c r="C23" s="28" t="inlineStr">
        <is>
          <t>metro</t>
        </is>
      </c>
      <c r="D23" s="29" t="n">
        <v>20</v>
      </c>
      <c r="E23" s="30" t="n">
        <v>1.5</v>
      </c>
      <c r="F23" s="30">
        <f>D23*E23</f>
        <v/>
      </c>
    </row>
    <row r="24">
      <c r="A24" s="31" t="inlineStr">
        <is>
          <t>Switch / Router</t>
        </is>
      </c>
      <c r="B24" s="31" t="inlineStr">
        <is>
          <t>Conectores RJ45 Cat6</t>
        </is>
      </c>
      <c r="C24" s="32" t="inlineStr">
        <is>
          <t>bolsa x100</t>
        </is>
      </c>
      <c r="D24" s="33" t="n">
        <v>1</v>
      </c>
      <c r="E24" s="34" t="n">
        <v>35</v>
      </c>
      <c r="F24" s="34">
        <f>D24*E24</f>
        <v/>
      </c>
    </row>
    <row r="25">
      <c r="A25" s="27" t="inlineStr">
        <is>
          <t>Switch / Router</t>
        </is>
      </c>
      <c r="B25" s="27" t="inlineStr">
        <is>
          <t>Ponchadora RJ45 (reemplazo cuchilla)</t>
        </is>
      </c>
      <c r="C25" s="28" t="inlineStr">
        <is>
          <t>pieza</t>
        </is>
      </c>
      <c r="D25" s="29" t="n">
        <v>1</v>
      </c>
      <c r="E25" s="30" t="n">
        <v>15</v>
      </c>
      <c r="F25" s="30">
        <f>D25*E25</f>
        <v/>
      </c>
    </row>
    <row r="26">
      <c r="A26" s="31" t="inlineStr">
        <is>
          <t>Impresora</t>
        </is>
      </c>
      <c r="B26" s="31" t="inlineStr">
        <is>
          <t>Papel bond A4</t>
        </is>
      </c>
      <c r="C26" s="32" t="inlineStr">
        <is>
          <t>resma 500h</t>
        </is>
      </c>
      <c r="D26" s="33" t="n">
        <v>1</v>
      </c>
      <c r="E26" s="34" t="n">
        <v>22</v>
      </c>
      <c r="F26" s="34">
        <f>D26*E26</f>
        <v/>
      </c>
    </row>
    <row r="27">
      <c r="A27" s="27" t="inlineStr">
        <is>
          <t>Herramientas ensamblaje</t>
        </is>
      </c>
      <c r="B27" s="27" t="inlineStr">
        <is>
          <t>Pulsera antiestática</t>
        </is>
      </c>
      <c r="C27" s="28" t="inlineStr">
        <is>
          <t>unidad</t>
        </is>
      </c>
      <c r="D27" s="29" t="n">
        <v>5</v>
      </c>
      <c r="E27" s="30" t="n">
        <v>12</v>
      </c>
      <c r="F27" s="30">
        <f>D27*E27</f>
        <v/>
      </c>
    </row>
    <row r="28">
      <c r="A28" s="31" t="inlineStr">
        <is>
          <t>Herramientas ensamblaje</t>
        </is>
      </c>
      <c r="B28" s="31" t="inlineStr">
        <is>
          <t>Bridas surtidas</t>
        </is>
      </c>
      <c r="C28" s="32" t="inlineStr">
        <is>
          <t>paquete x100</t>
        </is>
      </c>
      <c r="D28" s="33" t="n">
        <v>1</v>
      </c>
      <c r="E28" s="34" t="n">
        <v>8</v>
      </c>
      <c r="F28" s="34">
        <f>D28*E28</f>
        <v/>
      </c>
    </row>
    <row r="29" ht="20" customHeight="1">
      <c r="A29" s="35" t="inlineStr">
        <is>
          <t>TOTAL</t>
        </is>
      </c>
      <c r="B29" s="35" t="inlineStr">
        <is>
          <t>Computación e Informática</t>
        </is>
      </c>
      <c r="C29" s="36" t="n"/>
      <c r="D29" s="36" t="n"/>
      <c r="E29" s="36" t="n"/>
      <c r="F29" s="37">
        <f>SUM(F21:F28)</f>
        <v/>
      </c>
    </row>
    <row r="31" ht="22" customHeight="1">
      <c r="A31" s="25" t="inlineStr">
        <is>
          <t>CONSTRUCCIONES METÁLICAS</t>
        </is>
      </c>
      <c r="B31" s="25" t="n"/>
      <c r="C31" s="25" t="n"/>
      <c r="D31" s="25" t="n"/>
      <c r="E31" s="25" t="n"/>
      <c r="F31" s="25" t="n"/>
    </row>
    <row r="32">
      <c r="A32" s="26" t="inlineStr">
        <is>
          <t>Equipo</t>
        </is>
      </c>
      <c r="B32" s="26" t="inlineStr">
        <is>
          <t>Consumible</t>
        </is>
      </c>
      <c r="C32" s="26" t="inlineStr">
        <is>
          <t>Unidad</t>
        </is>
      </c>
      <c r="D32" s="26" t="inlineStr">
        <is>
          <t>Cantidad</t>
        </is>
      </c>
      <c r="E32" s="26" t="inlineStr">
        <is>
          <t>Precio Unit. (S/.)</t>
        </is>
      </c>
      <c r="F32" s="26" t="inlineStr">
        <is>
          <t>Subtotal</t>
        </is>
      </c>
    </row>
    <row r="33">
      <c r="A33" s="27" t="inlineStr">
        <is>
          <t>Soldadora MIG/MAG</t>
        </is>
      </c>
      <c r="B33" s="27" t="inlineStr">
        <is>
          <t>Alambre MIG 0.8mm</t>
        </is>
      </c>
      <c r="C33" s="28" t="inlineStr">
        <is>
          <t>rollo 5kg</t>
        </is>
      </c>
      <c r="D33" s="29" t="n">
        <v>1</v>
      </c>
      <c r="E33" s="30" t="n">
        <v>120</v>
      </c>
      <c r="F33" s="30">
        <f>D33*E33</f>
        <v/>
      </c>
    </row>
    <row r="34">
      <c r="A34" s="31" t="inlineStr">
        <is>
          <t>Soldadora MIG/MAG</t>
        </is>
      </c>
      <c r="B34" s="31" t="inlineStr">
        <is>
          <t>Gas CO2 (mezcla)</t>
        </is>
      </c>
      <c r="C34" s="32" t="inlineStr">
        <is>
          <t>balón 10kg</t>
        </is>
      </c>
      <c r="D34" s="33" t="n">
        <v>1</v>
      </c>
      <c r="E34" s="34" t="n">
        <v>85</v>
      </c>
      <c r="F34" s="34">
        <f>D34*E34</f>
        <v/>
      </c>
    </row>
    <row r="35">
      <c r="A35" s="27" t="inlineStr">
        <is>
          <t>Soldadora eléctrica (SMAW)</t>
        </is>
      </c>
      <c r="B35" s="27" t="inlineStr">
        <is>
          <t>Electrodos 6011 3.2mm</t>
        </is>
      </c>
      <c r="C35" s="28" t="inlineStr">
        <is>
          <t>kg</t>
        </is>
      </c>
      <c r="D35" s="29" t="n">
        <v>4</v>
      </c>
      <c r="E35" s="30" t="n">
        <v>12</v>
      </c>
      <c r="F35" s="30">
        <f>D35*E35</f>
        <v/>
      </c>
    </row>
    <row r="36">
      <c r="A36" s="31" t="inlineStr">
        <is>
          <t>Soldadora eléctrica (SMAW)</t>
        </is>
      </c>
      <c r="B36" s="31" t="inlineStr">
        <is>
          <t>Electrodos 7018 3.2mm</t>
        </is>
      </c>
      <c r="C36" s="32" t="inlineStr">
        <is>
          <t>kg</t>
        </is>
      </c>
      <c r="D36" s="33" t="n">
        <v>4</v>
      </c>
      <c r="E36" s="34" t="n">
        <v>14</v>
      </c>
      <c r="F36" s="34">
        <f>D36*E36</f>
        <v/>
      </c>
    </row>
    <row r="37">
      <c r="A37" s="27" t="inlineStr">
        <is>
          <t>Soldadora TIG</t>
        </is>
      </c>
      <c r="B37" s="27" t="inlineStr">
        <is>
          <t>Varillas TIG ER70S 2.4mm</t>
        </is>
      </c>
      <c r="C37" s="28" t="inlineStr">
        <is>
          <t>kg</t>
        </is>
      </c>
      <c r="D37" s="29" t="n">
        <v>1</v>
      </c>
      <c r="E37" s="30" t="n">
        <v>45</v>
      </c>
      <c r="F37" s="30">
        <f>D37*E37</f>
        <v/>
      </c>
    </row>
    <row r="38">
      <c r="A38" s="31" t="inlineStr">
        <is>
          <t>Soldadora TIG</t>
        </is>
      </c>
      <c r="B38" s="31" t="inlineStr">
        <is>
          <t>Gas argón</t>
        </is>
      </c>
      <c r="C38" s="32" t="inlineStr">
        <is>
          <t>balón 10m³</t>
        </is>
      </c>
      <c r="D38" s="33" t="n">
        <v>1</v>
      </c>
      <c r="E38" s="34" t="n">
        <v>120</v>
      </c>
      <c r="F38" s="34">
        <f>D38*E38</f>
        <v/>
      </c>
    </row>
    <row r="39">
      <c r="A39" s="27" t="inlineStr">
        <is>
          <t>Cortadora plasma</t>
        </is>
      </c>
      <c r="B39" s="27" t="inlineStr">
        <is>
          <t>Electrodos de plasma</t>
        </is>
      </c>
      <c r="C39" s="28" t="inlineStr">
        <is>
          <t>paquete x5</t>
        </is>
      </c>
      <c r="D39" s="29" t="n">
        <v>2</v>
      </c>
      <c r="E39" s="30" t="n">
        <v>35</v>
      </c>
      <c r="F39" s="30">
        <f>D39*E39</f>
        <v/>
      </c>
    </row>
    <row r="40">
      <c r="A40" s="31" t="inlineStr">
        <is>
          <t>Cortadora plasma</t>
        </is>
      </c>
      <c r="B40" s="31" t="inlineStr">
        <is>
          <t>Toberas de plasma</t>
        </is>
      </c>
      <c r="C40" s="32" t="inlineStr">
        <is>
          <t>paquete x5</t>
        </is>
      </c>
      <c r="D40" s="33" t="n">
        <v>2</v>
      </c>
      <c r="E40" s="34" t="n">
        <v>40</v>
      </c>
      <c r="F40" s="34">
        <f>D40*E40</f>
        <v/>
      </c>
    </row>
    <row r="41">
      <c r="A41" s="27" t="inlineStr">
        <is>
          <t>Amoladora angular</t>
        </is>
      </c>
      <c r="B41" s="27" t="inlineStr">
        <is>
          <t>Disco de corte 4.5"</t>
        </is>
      </c>
      <c r="C41" s="28" t="inlineStr">
        <is>
          <t>paquete x10</t>
        </is>
      </c>
      <c r="D41" s="29" t="n">
        <v>2</v>
      </c>
      <c r="E41" s="30" t="n">
        <v>35</v>
      </c>
      <c r="F41" s="30">
        <f>D41*E41</f>
        <v/>
      </c>
    </row>
    <row r="42">
      <c r="A42" s="31" t="inlineStr">
        <is>
          <t>Amoladora angular</t>
        </is>
      </c>
      <c r="B42" s="31" t="inlineStr">
        <is>
          <t>Disco de desbaste 4.5"</t>
        </is>
      </c>
      <c r="C42" s="32" t="inlineStr">
        <is>
          <t>paquete x5</t>
        </is>
      </c>
      <c r="D42" s="33" t="n">
        <v>2</v>
      </c>
      <c r="E42" s="34" t="n">
        <v>28</v>
      </c>
      <c r="F42" s="34">
        <f>D42*E42</f>
        <v/>
      </c>
    </row>
    <row r="43">
      <c r="A43" s="27" t="inlineStr">
        <is>
          <t>Taladro de banco</t>
        </is>
      </c>
      <c r="B43" s="27" t="inlineStr">
        <is>
          <t>Brocas HSS surtido</t>
        </is>
      </c>
      <c r="C43" s="28" t="inlineStr">
        <is>
          <t>set</t>
        </is>
      </c>
      <c r="D43" s="29" t="n">
        <v>1</v>
      </c>
      <c r="E43" s="30" t="n">
        <v>45</v>
      </c>
      <c r="F43" s="30">
        <f>D43*E43</f>
        <v/>
      </c>
    </row>
    <row r="44">
      <c r="A44" s="31" t="inlineStr">
        <is>
          <t>Material de práctica</t>
        </is>
      </c>
      <c r="B44" s="31" t="inlineStr">
        <is>
          <t>Platina/ángulo acero</t>
        </is>
      </c>
      <c r="C44" s="32" t="inlineStr">
        <is>
          <t>kg</t>
        </is>
      </c>
      <c r="D44" s="33" t="n">
        <v>20</v>
      </c>
      <c r="E44" s="34" t="n">
        <v>4.5</v>
      </c>
      <c r="F44" s="34">
        <f>D44*E44</f>
        <v/>
      </c>
    </row>
    <row r="45" ht="20" customHeight="1">
      <c r="A45" s="35" t="inlineStr">
        <is>
          <t>TOTAL</t>
        </is>
      </c>
      <c r="B45" s="35" t="inlineStr">
        <is>
          <t>Construcciones Metálicas</t>
        </is>
      </c>
      <c r="C45" s="36" t="n"/>
      <c r="D45" s="36" t="n"/>
      <c r="E45" s="36" t="n"/>
      <c r="F45" s="37">
        <f>SUM(F33:F44)</f>
        <v/>
      </c>
    </row>
    <row r="47" ht="22" customHeight="1">
      <c r="A47" s="25" t="inlineStr">
        <is>
          <t>EBANISTERÍA</t>
        </is>
      </c>
      <c r="B47" s="25" t="n"/>
      <c r="C47" s="25" t="n"/>
      <c r="D47" s="25" t="n"/>
      <c r="E47" s="25" t="n"/>
      <c r="F47" s="25" t="n"/>
    </row>
    <row r="48">
      <c r="A48" s="26" t="inlineStr">
        <is>
          <t>Equipo</t>
        </is>
      </c>
      <c r="B48" s="26" t="inlineStr">
        <is>
          <t>Consumible</t>
        </is>
      </c>
      <c r="C48" s="26" t="inlineStr">
        <is>
          <t>Unidad</t>
        </is>
      </c>
      <c r="D48" s="26" t="inlineStr">
        <is>
          <t>Cantidad</t>
        </is>
      </c>
      <c r="E48" s="26" t="inlineStr">
        <is>
          <t>Precio Unit. (S/.)</t>
        </is>
      </c>
      <c r="F48" s="26" t="inlineStr">
        <is>
          <t>Subtotal</t>
        </is>
      </c>
    </row>
    <row r="49">
      <c r="A49" s="27" t="inlineStr">
        <is>
          <t>Sierra circular de mesa</t>
        </is>
      </c>
      <c r="B49" s="27" t="inlineStr">
        <is>
          <t>Hoja sierra 60T 10"</t>
        </is>
      </c>
      <c r="C49" s="28" t="inlineStr">
        <is>
          <t>unidad</t>
        </is>
      </c>
      <c r="D49" s="29" t="n">
        <v>1</v>
      </c>
      <c r="E49" s="30" t="n">
        <v>65</v>
      </c>
      <c r="F49" s="30">
        <f>D49*E49</f>
        <v/>
      </c>
    </row>
    <row r="50">
      <c r="A50" s="31" t="inlineStr">
        <is>
          <t>Sierra circular de mesa</t>
        </is>
      </c>
      <c r="B50" s="31" t="inlineStr">
        <is>
          <t>MDF 15mm 1.83x2.44m</t>
        </is>
      </c>
      <c r="C50" s="32" t="inlineStr">
        <is>
          <t>plancha</t>
        </is>
      </c>
      <c r="D50" s="33" t="n">
        <v>3</v>
      </c>
      <c r="E50" s="34" t="n">
        <v>78</v>
      </c>
      <c r="F50" s="34">
        <f>D50*E50</f>
        <v/>
      </c>
    </row>
    <row r="51">
      <c r="A51" s="27" t="inlineStr">
        <is>
          <t>Sierra de cinta</t>
        </is>
      </c>
      <c r="B51" s="27" t="inlineStr">
        <is>
          <t>Hoja de banda (reemplazo)</t>
        </is>
      </c>
      <c r="C51" s="28" t="inlineStr">
        <is>
          <t>unidad</t>
        </is>
      </c>
      <c r="D51" s="29" t="n">
        <v>1</v>
      </c>
      <c r="E51" s="30" t="n">
        <v>68</v>
      </c>
      <c r="F51" s="30">
        <f>D51*E51</f>
        <v/>
      </c>
    </row>
    <row r="52">
      <c r="A52" s="31" t="inlineStr">
        <is>
          <t>Router / CNC</t>
        </is>
      </c>
      <c r="B52" s="31" t="inlineStr">
        <is>
          <t>Fresa recta 6mm carburo</t>
        </is>
      </c>
      <c r="C52" s="32" t="inlineStr">
        <is>
          <t>unidad</t>
        </is>
      </c>
      <c r="D52" s="33" t="n">
        <v>3</v>
      </c>
      <c r="E52" s="34" t="n">
        <v>38</v>
      </c>
      <c r="F52" s="34">
        <f>D52*E52</f>
        <v/>
      </c>
    </row>
    <row r="53">
      <c r="A53" s="27" t="inlineStr">
        <is>
          <t>Router / CNC</t>
        </is>
      </c>
      <c r="B53" s="27" t="inlineStr">
        <is>
          <t>Fresa de perfil 1/4"</t>
        </is>
      </c>
      <c r="C53" s="28" t="inlineStr">
        <is>
          <t>unidad</t>
        </is>
      </c>
      <c r="D53" s="29" t="n">
        <v>2</v>
      </c>
      <c r="E53" s="30" t="n">
        <v>42</v>
      </c>
      <c r="F53" s="30">
        <f>D53*E53</f>
        <v/>
      </c>
    </row>
    <row r="54">
      <c r="A54" s="31" t="inlineStr">
        <is>
          <t>Lijadora orbital</t>
        </is>
      </c>
      <c r="B54" s="31" t="inlineStr">
        <is>
          <t>Disco lija 80 5"</t>
        </is>
      </c>
      <c r="C54" s="32" t="inlineStr">
        <is>
          <t>paquete x20</t>
        </is>
      </c>
      <c r="D54" s="33" t="n">
        <v>1</v>
      </c>
      <c r="E54" s="34" t="n">
        <v>22</v>
      </c>
      <c r="F54" s="34">
        <f>D54*E54</f>
        <v/>
      </c>
    </row>
    <row r="55">
      <c r="A55" s="27" t="inlineStr">
        <is>
          <t>Lijadora orbital</t>
        </is>
      </c>
      <c r="B55" s="27" t="inlineStr">
        <is>
          <t>Disco lija 120 5"</t>
        </is>
      </c>
      <c r="C55" s="28" t="inlineStr">
        <is>
          <t>paquete x20</t>
        </is>
      </c>
      <c r="D55" s="29" t="n">
        <v>1</v>
      </c>
      <c r="E55" s="30" t="n">
        <v>22</v>
      </c>
      <c r="F55" s="30">
        <f>D55*E55</f>
        <v/>
      </c>
    </row>
    <row r="56">
      <c r="A56" s="31" t="inlineStr">
        <is>
          <t>Lijadora orbital</t>
        </is>
      </c>
      <c r="B56" s="31" t="inlineStr">
        <is>
          <t>Disco lija 220 5"</t>
        </is>
      </c>
      <c r="C56" s="32" t="inlineStr">
        <is>
          <t>paquete x20</t>
        </is>
      </c>
      <c r="D56" s="33" t="n">
        <v>1</v>
      </c>
      <c r="E56" s="34" t="n">
        <v>25</v>
      </c>
      <c r="F56" s="34">
        <f>D56*E56</f>
        <v/>
      </c>
    </row>
    <row r="57">
      <c r="A57" s="27" t="inlineStr">
        <is>
          <t>Torno de madera</t>
        </is>
      </c>
      <c r="B57" s="27" t="inlineStr">
        <is>
          <t>Lija para torno (rollo)</t>
        </is>
      </c>
      <c r="C57" s="28" t="inlineStr">
        <is>
          <t>metro</t>
        </is>
      </c>
      <c r="D57" s="29" t="n">
        <v>5</v>
      </c>
      <c r="E57" s="30" t="n">
        <v>4</v>
      </c>
      <c r="F57" s="30">
        <f>D57*E57</f>
        <v/>
      </c>
    </row>
    <row r="58">
      <c r="A58" s="31" t="inlineStr">
        <is>
          <t>Compresor + pistola</t>
        </is>
      </c>
      <c r="B58" s="31" t="inlineStr">
        <is>
          <t>Sellador madera</t>
        </is>
      </c>
      <c r="C58" s="32" t="inlineStr">
        <is>
          <t>litro</t>
        </is>
      </c>
      <c r="D58" s="33" t="n">
        <v>1</v>
      </c>
      <c r="E58" s="34" t="n">
        <v>28</v>
      </c>
      <c r="F58" s="34">
        <f>D58*E58</f>
        <v/>
      </c>
    </row>
    <row r="59">
      <c r="A59" s="27" t="inlineStr">
        <is>
          <t>Compresor + pistola</t>
        </is>
      </c>
      <c r="B59" s="27" t="inlineStr">
        <is>
          <t>Barniz brillante</t>
        </is>
      </c>
      <c r="C59" s="28" t="inlineStr">
        <is>
          <t>litro</t>
        </is>
      </c>
      <c r="D59" s="29" t="n">
        <v>1</v>
      </c>
      <c r="E59" s="30" t="n">
        <v>32</v>
      </c>
      <c r="F59" s="30">
        <f>D59*E59</f>
        <v/>
      </c>
    </row>
    <row r="60">
      <c r="A60" s="31" t="inlineStr">
        <is>
          <t>Compresor + pistola</t>
        </is>
      </c>
      <c r="B60" s="31" t="inlineStr">
        <is>
          <t>Thinner</t>
        </is>
      </c>
      <c r="C60" s="32" t="inlineStr">
        <is>
          <t>litro</t>
        </is>
      </c>
      <c r="D60" s="33" t="n">
        <v>1</v>
      </c>
      <c r="E60" s="34" t="n">
        <v>12</v>
      </c>
      <c r="F60" s="34">
        <f>D60*E60</f>
        <v/>
      </c>
    </row>
    <row r="61">
      <c r="A61" s="27" t="inlineStr">
        <is>
          <t>Material de práctica</t>
        </is>
      </c>
      <c r="B61" s="27" t="inlineStr">
        <is>
          <t>Tablas tornillo 1"x4"x8'</t>
        </is>
      </c>
      <c r="C61" s="28" t="inlineStr">
        <is>
          <t>unidad</t>
        </is>
      </c>
      <c r="D61" s="29" t="n">
        <v>8</v>
      </c>
      <c r="E61" s="30" t="n">
        <v>18</v>
      </c>
      <c r="F61" s="30">
        <f>D61*E61</f>
        <v/>
      </c>
    </row>
    <row r="62" ht="20" customHeight="1">
      <c r="A62" s="35" t="inlineStr">
        <is>
          <t>TOTAL</t>
        </is>
      </c>
      <c r="B62" s="35" t="inlineStr">
        <is>
          <t>Ebanistería</t>
        </is>
      </c>
      <c r="C62" s="36" t="n"/>
      <c r="D62" s="36" t="n"/>
      <c r="E62" s="36" t="n"/>
      <c r="F62" s="37">
        <f>SUM(F49:F61)</f>
        <v/>
      </c>
    </row>
    <row r="64" ht="22" customHeight="1">
      <c r="A64" s="25" t="inlineStr">
        <is>
          <t>ELECTRICIDAD</t>
        </is>
      </c>
      <c r="B64" s="25" t="n"/>
      <c r="C64" s="25" t="n"/>
      <c r="D64" s="25" t="n"/>
      <c r="E64" s="25" t="n"/>
      <c r="F64" s="25" t="n"/>
    </row>
    <row r="65">
      <c r="A65" s="26" t="inlineStr">
        <is>
          <t>Equipo</t>
        </is>
      </c>
      <c r="B65" s="26" t="inlineStr">
        <is>
          <t>Consumible</t>
        </is>
      </c>
      <c r="C65" s="26" t="inlineStr">
        <is>
          <t>Unidad</t>
        </is>
      </c>
      <c r="D65" s="26" t="inlineStr">
        <is>
          <t>Cantidad</t>
        </is>
      </c>
      <c r="E65" s="26" t="inlineStr">
        <is>
          <t>Precio Unit. (S/.)</t>
        </is>
      </c>
      <c r="F65" s="26" t="inlineStr">
        <is>
          <t>Subtotal</t>
        </is>
      </c>
    </row>
    <row r="66">
      <c r="A66" s="27" t="inlineStr">
        <is>
          <t>Tablero de prácticas</t>
        </is>
      </c>
      <c r="B66" s="27" t="inlineStr">
        <is>
          <t>Cable THW 14AWG (rojo)</t>
        </is>
      </c>
      <c r="C66" s="28" t="inlineStr">
        <is>
          <t>metro</t>
        </is>
      </c>
      <c r="D66" s="29" t="n">
        <v>20</v>
      </c>
      <c r="E66" s="30" t="n">
        <v>1.8</v>
      </c>
      <c r="F66" s="30">
        <f>D66*E66</f>
        <v/>
      </c>
    </row>
    <row r="67">
      <c r="A67" s="31" t="inlineStr">
        <is>
          <t>Tablero de prácticas</t>
        </is>
      </c>
      <c r="B67" s="31" t="inlineStr">
        <is>
          <t>Cable THW 14AWG (negro)</t>
        </is>
      </c>
      <c r="C67" s="32" t="inlineStr">
        <is>
          <t>metro</t>
        </is>
      </c>
      <c r="D67" s="33" t="n">
        <v>20</v>
      </c>
      <c r="E67" s="34" t="n">
        <v>1.8</v>
      </c>
      <c r="F67" s="34">
        <f>D67*E67</f>
        <v/>
      </c>
    </row>
    <row r="68">
      <c r="A68" s="27" t="inlineStr">
        <is>
          <t>Tablero de prácticas</t>
        </is>
      </c>
      <c r="B68" s="27" t="inlineStr">
        <is>
          <t>Cable THW 14AWG (verde)</t>
        </is>
      </c>
      <c r="C68" s="28" t="inlineStr">
        <is>
          <t>metro</t>
        </is>
      </c>
      <c r="D68" s="29" t="n">
        <v>10</v>
      </c>
      <c r="E68" s="30" t="n">
        <v>1.8</v>
      </c>
      <c r="F68" s="30">
        <f>D68*E68</f>
        <v/>
      </c>
    </row>
    <row r="69">
      <c r="A69" s="31" t="inlineStr">
        <is>
          <t>Tablero de prácticas</t>
        </is>
      </c>
      <c r="B69" s="31" t="inlineStr">
        <is>
          <t>Terminales preaislados surtido</t>
        </is>
      </c>
      <c r="C69" s="32" t="inlineStr">
        <is>
          <t>bolsa x100</t>
        </is>
      </c>
      <c r="D69" s="33" t="n">
        <v>1</v>
      </c>
      <c r="E69" s="34" t="n">
        <v>28</v>
      </c>
      <c r="F69" s="34">
        <f>D69*E69</f>
        <v/>
      </c>
    </row>
    <row r="70">
      <c r="A70" s="27" t="inlineStr">
        <is>
          <t>Módulo automatización</t>
        </is>
      </c>
      <c r="B70" s="27" t="inlineStr">
        <is>
          <t>Relé 24VDC con base</t>
        </is>
      </c>
      <c r="C70" s="28" t="inlineStr">
        <is>
          <t>unidad</t>
        </is>
      </c>
      <c r="D70" s="29" t="n">
        <v>5</v>
      </c>
      <c r="E70" s="30" t="n">
        <v>12</v>
      </c>
      <c r="F70" s="30">
        <f>D70*E70</f>
        <v/>
      </c>
    </row>
    <row r="71">
      <c r="A71" s="31" t="inlineStr">
        <is>
          <t>Módulo automatización</t>
        </is>
      </c>
      <c r="B71" s="31" t="inlineStr">
        <is>
          <t>Contactor LC1-D09</t>
        </is>
      </c>
      <c r="C71" s="32" t="inlineStr">
        <is>
          <t>unidad</t>
        </is>
      </c>
      <c r="D71" s="33" t="n">
        <v>3</v>
      </c>
      <c r="E71" s="34" t="n">
        <v>42</v>
      </c>
      <c r="F71" s="34">
        <f>D71*E71</f>
        <v/>
      </c>
    </row>
    <row r="72">
      <c r="A72" s="27" t="inlineStr">
        <is>
          <t>Módulo automatización</t>
        </is>
      </c>
      <c r="B72" s="27" t="inlineStr">
        <is>
          <t>Cinta aislante 19mm</t>
        </is>
      </c>
      <c r="C72" s="28" t="inlineStr">
        <is>
          <t>rollo</t>
        </is>
      </c>
      <c r="D72" s="29" t="n">
        <v>5</v>
      </c>
      <c r="E72" s="30" t="n">
        <v>4</v>
      </c>
      <c r="F72" s="30">
        <f>D72*E72</f>
        <v/>
      </c>
    </row>
    <row r="73">
      <c r="A73" s="31" t="inlineStr">
        <is>
          <t>Instalaciones práctica</t>
        </is>
      </c>
      <c r="B73" s="31" t="inlineStr">
        <is>
          <t>Tubería PVC 3/4"</t>
        </is>
      </c>
      <c r="C73" s="32" t="inlineStr">
        <is>
          <t>metro</t>
        </is>
      </c>
      <c r="D73" s="33" t="n">
        <v>10</v>
      </c>
      <c r="E73" s="34" t="n">
        <v>3.2</v>
      </c>
      <c r="F73" s="34">
        <f>D73*E73</f>
        <v/>
      </c>
    </row>
    <row r="74">
      <c r="A74" s="27" t="inlineStr">
        <is>
          <t>Instalaciones práctica</t>
        </is>
      </c>
      <c r="B74" s="27" t="inlineStr">
        <is>
          <t>Curvas PVC 3/4"</t>
        </is>
      </c>
      <c r="C74" s="28" t="inlineStr">
        <is>
          <t>unidad</t>
        </is>
      </c>
      <c r="D74" s="29" t="n">
        <v>10</v>
      </c>
      <c r="E74" s="30" t="n">
        <v>1.5</v>
      </c>
      <c r="F74" s="30">
        <f>D74*E74</f>
        <v/>
      </c>
    </row>
    <row r="75">
      <c r="A75" s="31" t="inlineStr">
        <is>
          <t>Instalaciones práctica</t>
        </is>
      </c>
      <c r="B75" s="31" t="inlineStr">
        <is>
          <t>Cajas de pase 100x100</t>
        </is>
      </c>
      <c r="C75" s="32" t="inlineStr">
        <is>
          <t>unidad</t>
        </is>
      </c>
      <c r="D75" s="33" t="n">
        <v>5</v>
      </c>
      <c r="E75" s="34" t="n">
        <v>4.5</v>
      </c>
      <c r="F75" s="34">
        <f>D75*E75</f>
        <v/>
      </c>
    </row>
    <row r="76">
      <c r="A76" s="27" t="inlineStr">
        <is>
          <t>Equipo de medición</t>
        </is>
      </c>
      <c r="B76" s="27" t="inlineStr">
        <is>
          <t>Fusibles surtido</t>
        </is>
      </c>
      <c r="C76" s="28" t="inlineStr">
        <is>
          <t>paquete x20</t>
        </is>
      </c>
      <c r="D76" s="29" t="n">
        <v>2</v>
      </c>
      <c r="E76" s="30" t="n">
        <v>12</v>
      </c>
      <c r="F76" s="30">
        <f>D76*E76</f>
        <v/>
      </c>
    </row>
    <row r="77" ht="20" customHeight="1">
      <c r="A77" s="35" t="inlineStr">
        <is>
          <t>TOTAL</t>
        </is>
      </c>
      <c r="B77" s="35" t="inlineStr">
        <is>
          <t>Electricidad</t>
        </is>
      </c>
      <c r="C77" s="36" t="n"/>
      <c r="D77" s="36" t="n"/>
      <c r="E77" s="36" t="n"/>
      <c r="F77" s="37">
        <f>SUM(F66:F76)</f>
        <v/>
      </c>
    </row>
    <row r="79" ht="22" customHeight="1">
      <c r="A79" s="25" t="inlineStr">
        <is>
          <t>ELECTRÓNICA</t>
        </is>
      </c>
      <c r="B79" s="25" t="n"/>
      <c r="C79" s="25" t="n"/>
      <c r="D79" s="25" t="n"/>
      <c r="E79" s="25" t="n"/>
      <c r="F79" s="25" t="n"/>
    </row>
    <row r="80">
      <c r="A80" s="26" t="inlineStr">
        <is>
          <t>Equipo</t>
        </is>
      </c>
      <c r="B80" s="26" t="inlineStr">
        <is>
          <t>Consumible</t>
        </is>
      </c>
      <c r="C80" s="26" t="inlineStr">
        <is>
          <t>Unidad</t>
        </is>
      </c>
      <c r="D80" s="26" t="inlineStr">
        <is>
          <t>Cantidad</t>
        </is>
      </c>
      <c r="E80" s="26" t="inlineStr">
        <is>
          <t>Precio Unit. (S/.)</t>
        </is>
      </c>
      <c r="F80" s="26" t="inlineStr">
        <is>
          <t>Subtotal</t>
        </is>
      </c>
    </row>
    <row r="81">
      <c r="A81" s="27" t="inlineStr">
        <is>
          <t>Estación de soldadura</t>
        </is>
      </c>
      <c r="B81" s="27" t="inlineStr">
        <is>
          <t>Estaño 60/40 1mm</t>
        </is>
      </c>
      <c r="C81" s="28" t="inlineStr">
        <is>
          <t>rollo 250g</t>
        </is>
      </c>
      <c r="D81" s="29" t="n">
        <v>1</v>
      </c>
      <c r="E81" s="30" t="n">
        <v>32</v>
      </c>
      <c r="F81" s="30">
        <f>D81*E81</f>
        <v/>
      </c>
    </row>
    <row r="82">
      <c r="A82" s="31" t="inlineStr">
        <is>
          <t>Estación de soldadura</t>
        </is>
      </c>
      <c r="B82" s="31" t="inlineStr">
        <is>
          <t>Flux líquido</t>
        </is>
      </c>
      <c r="C82" s="32" t="inlineStr">
        <is>
          <t>frasco 50ml</t>
        </is>
      </c>
      <c r="D82" s="33" t="n">
        <v>2</v>
      </c>
      <c r="E82" s="34" t="n">
        <v>18</v>
      </c>
      <c r="F82" s="34">
        <f>D82*E82</f>
        <v/>
      </c>
    </row>
    <row r="83">
      <c r="A83" s="27" t="inlineStr">
        <is>
          <t>Estación de soldadura</t>
        </is>
      </c>
      <c r="B83" s="27" t="inlineStr">
        <is>
          <t>Esponja de limpieza</t>
        </is>
      </c>
      <c r="C83" s="28" t="inlineStr">
        <is>
          <t>unidad</t>
        </is>
      </c>
      <c r="D83" s="29" t="n">
        <v>3</v>
      </c>
      <c r="E83" s="30" t="n">
        <v>5</v>
      </c>
      <c r="F83" s="30">
        <f>D83*E83</f>
        <v/>
      </c>
    </row>
    <row r="84">
      <c r="A84" s="31" t="inlineStr">
        <is>
          <t>Estación de aire (SMD)</t>
        </is>
      </c>
      <c r="B84" s="31" t="inlineStr">
        <is>
          <t>Pasta soldadora SMD</t>
        </is>
      </c>
      <c r="C84" s="32" t="inlineStr">
        <is>
          <t>jeringa 50g</t>
        </is>
      </c>
      <c r="D84" s="33" t="n">
        <v>1</v>
      </c>
      <c r="E84" s="34" t="n">
        <v>38</v>
      </c>
      <c r="F84" s="34">
        <f>D84*E84</f>
        <v/>
      </c>
    </row>
    <row r="85">
      <c r="A85" s="27" t="inlineStr">
        <is>
          <t>Estación de aire (SMD)</t>
        </is>
      </c>
      <c r="B85" s="27" t="inlineStr">
        <is>
          <t>Mecha desoldar 2.5mm</t>
        </is>
      </c>
      <c r="C85" s="28" t="inlineStr">
        <is>
          <t>rollo x3</t>
        </is>
      </c>
      <c r="D85" s="29" t="n">
        <v>1</v>
      </c>
      <c r="E85" s="30" t="n">
        <v>20</v>
      </c>
      <c r="F85" s="30">
        <f>D85*E85</f>
        <v/>
      </c>
    </row>
    <row r="86">
      <c r="A86" s="31" t="inlineStr">
        <is>
          <t>Protoboard / PCB</t>
        </is>
      </c>
      <c r="B86" s="31" t="inlineStr">
        <is>
          <t>PCB virgen fibra 10x15cm</t>
        </is>
      </c>
      <c r="C86" s="32" t="inlineStr">
        <is>
          <t>unidad</t>
        </is>
      </c>
      <c r="D86" s="33" t="n">
        <v>10</v>
      </c>
      <c r="E86" s="34" t="n">
        <v>5.5</v>
      </c>
      <c r="F86" s="34">
        <f>D86*E86</f>
        <v/>
      </c>
    </row>
    <row r="87">
      <c r="A87" s="27" t="inlineStr">
        <is>
          <t>Protoboard / PCB</t>
        </is>
      </c>
      <c r="B87" s="27" t="inlineStr">
        <is>
          <t>Resistencias surtido</t>
        </is>
      </c>
      <c r="C87" s="28" t="inlineStr">
        <is>
          <t>kit 600u</t>
        </is>
      </c>
      <c r="D87" s="29" t="n">
        <v>1</v>
      </c>
      <c r="E87" s="30" t="n">
        <v>22</v>
      </c>
      <c r="F87" s="30">
        <f>D87*E87</f>
        <v/>
      </c>
    </row>
    <row r="88">
      <c r="A88" s="31" t="inlineStr">
        <is>
          <t>Protoboard / PCB</t>
        </is>
      </c>
      <c r="B88" s="31" t="inlineStr">
        <is>
          <t>Condensadores surtido</t>
        </is>
      </c>
      <c r="C88" s="32" t="inlineStr">
        <is>
          <t>kit 200u</t>
        </is>
      </c>
      <c r="D88" s="33" t="n">
        <v>1</v>
      </c>
      <c r="E88" s="34" t="n">
        <v>28</v>
      </c>
      <c r="F88" s="34">
        <f>D88*E88</f>
        <v/>
      </c>
    </row>
    <row r="89">
      <c r="A89" s="27" t="inlineStr">
        <is>
          <t>Protoboard / PCB</t>
        </is>
      </c>
      <c r="B89" s="27" t="inlineStr">
        <is>
          <t>Transistores BC547/BC557</t>
        </is>
      </c>
      <c r="C89" s="28" t="inlineStr">
        <is>
          <t>paquete x50</t>
        </is>
      </c>
      <c r="D89" s="29" t="n">
        <v>1</v>
      </c>
      <c r="E89" s="30" t="n">
        <v>18</v>
      </c>
      <c r="F89" s="30">
        <f>D89*E89</f>
        <v/>
      </c>
    </row>
    <row r="90">
      <c r="A90" s="31" t="inlineStr">
        <is>
          <t>Protoboard / PCB</t>
        </is>
      </c>
      <c r="B90" s="31" t="inlineStr">
        <is>
          <t>ICs básicos (555, LM358, 7805)</t>
        </is>
      </c>
      <c r="C90" s="32" t="inlineStr">
        <is>
          <t>kit</t>
        </is>
      </c>
      <c r="D90" s="33" t="n">
        <v>1</v>
      </c>
      <c r="E90" s="34" t="n">
        <v>35</v>
      </c>
      <c r="F90" s="34">
        <f>D90*E90</f>
        <v/>
      </c>
    </row>
    <row r="91">
      <c r="A91" s="27" t="inlineStr">
        <is>
          <t>Protoboard / PCB</t>
        </is>
      </c>
      <c r="B91" s="27" t="inlineStr">
        <is>
          <t>Cables jumper M-M 20cm</t>
        </is>
      </c>
      <c r="C91" s="28" t="inlineStr">
        <is>
          <t>paquete x40</t>
        </is>
      </c>
      <c r="D91" s="29" t="n">
        <v>2</v>
      </c>
      <c r="E91" s="30" t="n">
        <v>12</v>
      </c>
      <c r="F91" s="30">
        <f>D91*E91</f>
        <v/>
      </c>
    </row>
    <row r="92">
      <c r="A92" s="31" t="inlineStr">
        <is>
          <t>Fuente de alimentación</t>
        </is>
      </c>
      <c r="B92" s="31" t="inlineStr">
        <is>
          <t>Cables banana-cocodrilo</t>
        </is>
      </c>
      <c r="C92" s="32" t="inlineStr">
        <is>
          <t>par</t>
        </is>
      </c>
      <c r="D92" s="33" t="n">
        <v>4</v>
      </c>
      <c r="E92" s="34" t="n">
        <v>8</v>
      </c>
      <c r="F92" s="34">
        <f>D92*E92</f>
        <v/>
      </c>
    </row>
    <row r="93" ht="20" customHeight="1">
      <c r="A93" s="35" t="inlineStr">
        <is>
          <t>TOTAL</t>
        </is>
      </c>
      <c r="B93" s="35" t="inlineStr">
        <is>
          <t>Electrónica</t>
        </is>
      </c>
      <c r="C93" s="36" t="n"/>
      <c r="D93" s="36" t="n"/>
      <c r="E93" s="36" t="n"/>
      <c r="F93" s="37">
        <f>SUM(F81:F92)</f>
        <v/>
      </c>
    </row>
    <row r="95" ht="22" customHeight="1">
      <c r="A95" s="25" t="inlineStr">
        <is>
          <t>INDUSTRIA ALIMENTARIA</t>
        </is>
      </c>
      <c r="B95" s="25" t="n"/>
      <c r="C95" s="25" t="n"/>
      <c r="D95" s="25" t="n"/>
      <c r="E95" s="25" t="n"/>
      <c r="F95" s="25" t="n"/>
    </row>
    <row r="96">
      <c r="A96" s="26" t="inlineStr">
        <is>
          <t>Equipo</t>
        </is>
      </c>
      <c r="B96" s="26" t="inlineStr">
        <is>
          <t>Consumible</t>
        </is>
      </c>
      <c r="C96" s="26" t="inlineStr">
        <is>
          <t>Unidad</t>
        </is>
      </c>
      <c r="D96" s="26" t="inlineStr">
        <is>
          <t>Cantidad</t>
        </is>
      </c>
      <c r="E96" s="26" t="inlineStr">
        <is>
          <t>Precio Unit. (S/.)</t>
        </is>
      </c>
      <c r="F96" s="26" t="inlineStr">
        <is>
          <t>Subtotal</t>
        </is>
      </c>
    </row>
    <row r="97">
      <c r="A97" s="27" t="inlineStr">
        <is>
          <t>Mezcladora industrial</t>
        </is>
      </c>
      <c r="B97" s="27" t="inlineStr">
        <is>
          <t>Harina preparada</t>
        </is>
      </c>
      <c r="C97" s="28" t="inlineStr">
        <is>
          <t>kg</t>
        </is>
      </c>
      <c r="D97" s="29" t="n">
        <v>6</v>
      </c>
      <c r="E97" s="30" t="n">
        <v>4.5</v>
      </c>
      <c r="F97" s="30">
        <f>D97*E97</f>
        <v/>
      </c>
    </row>
    <row r="98">
      <c r="A98" s="31" t="inlineStr">
        <is>
          <t>Mezcladora industrial</t>
        </is>
      </c>
      <c r="B98" s="31" t="inlineStr">
        <is>
          <t>Azúcar blanca</t>
        </is>
      </c>
      <c r="C98" s="32" t="inlineStr">
        <is>
          <t>kg</t>
        </is>
      </c>
      <c r="D98" s="33" t="n">
        <v>4</v>
      </c>
      <c r="E98" s="34" t="n">
        <v>4.5</v>
      </c>
      <c r="F98" s="34">
        <f>D98*E98</f>
        <v/>
      </c>
    </row>
    <row r="99">
      <c r="A99" s="27" t="inlineStr">
        <is>
          <t>Mezcladora industrial</t>
        </is>
      </c>
      <c r="B99" s="27" t="inlineStr">
        <is>
          <t>Sal</t>
        </is>
      </c>
      <c r="C99" s="28" t="inlineStr">
        <is>
          <t>kg</t>
        </is>
      </c>
      <c r="D99" s="29" t="n">
        <v>1</v>
      </c>
      <c r="E99" s="30" t="n">
        <v>2</v>
      </c>
      <c r="F99" s="30">
        <f>D99*E99</f>
        <v/>
      </c>
    </row>
    <row r="100">
      <c r="A100" s="31" t="inlineStr">
        <is>
          <t>Pasteurizador</t>
        </is>
      </c>
      <c r="B100" s="31" t="inlineStr">
        <is>
          <t>Leche fresca</t>
        </is>
      </c>
      <c r="C100" s="32" t="inlineStr">
        <is>
          <t>litro</t>
        </is>
      </c>
      <c r="D100" s="33" t="n">
        <v>10</v>
      </c>
      <c r="E100" s="34" t="n">
        <v>4.5</v>
      </c>
      <c r="F100" s="34">
        <f>D100*E100</f>
        <v/>
      </c>
    </row>
    <row r="101">
      <c r="A101" s="27" t="inlineStr">
        <is>
          <t>Pasteurizador</t>
        </is>
      </c>
      <c r="B101" s="27" t="inlineStr">
        <is>
          <t>Envases de vidrio 250ml</t>
        </is>
      </c>
      <c r="C101" s="28" t="inlineStr">
        <is>
          <t>unidad</t>
        </is>
      </c>
      <c r="D101" s="29" t="n">
        <v>20</v>
      </c>
      <c r="E101" s="30" t="n">
        <v>3.5</v>
      </c>
      <c r="F101" s="30">
        <f>D101*E101</f>
        <v/>
      </c>
    </row>
    <row r="102">
      <c r="A102" s="31" t="inlineStr">
        <is>
          <t>Selladora al vacío</t>
        </is>
      </c>
      <c r="B102" s="31" t="inlineStr">
        <is>
          <t>Bolsas vacío 20x30cm</t>
        </is>
      </c>
      <c r="C102" s="32" t="inlineStr">
        <is>
          <t>paquete x100</t>
        </is>
      </c>
      <c r="D102" s="33" t="n">
        <v>1</v>
      </c>
      <c r="E102" s="34" t="n">
        <v>35</v>
      </c>
      <c r="F102" s="34">
        <f>D102*E102</f>
        <v/>
      </c>
    </row>
    <row r="103">
      <c r="A103" s="27" t="inlineStr">
        <is>
          <t>Etiquetadora</t>
        </is>
      </c>
      <c r="B103" s="27" t="inlineStr">
        <is>
          <t>Etiquetas en blanco</t>
        </is>
      </c>
      <c r="C103" s="28" t="inlineStr">
        <is>
          <t>rollo x500</t>
        </is>
      </c>
      <c r="D103" s="29" t="n">
        <v>1</v>
      </c>
      <c r="E103" s="30" t="n">
        <v>18</v>
      </c>
      <c r="F103" s="30">
        <f>D103*E103</f>
        <v/>
      </c>
    </row>
    <row r="104">
      <c r="A104" s="31" t="inlineStr">
        <is>
          <t>Mesas acero inox</t>
        </is>
      </c>
      <c r="B104" s="31" t="inlineStr">
        <is>
          <t>Guantes descartables</t>
        </is>
      </c>
      <c r="C104" s="32" t="inlineStr">
        <is>
          <t>caja x100</t>
        </is>
      </c>
      <c r="D104" s="33" t="n">
        <v>1</v>
      </c>
      <c r="E104" s="34" t="n">
        <v>18</v>
      </c>
      <c r="F104" s="34">
        <f>D104*E104</f>
        <v/>
      </c>
    </row>
    <row r="105">
      <c r="A105" s="27" t="inlineStr">
        <is>
          <t>Mesas acero inox</t>
        </is>
      </c>
      <c r="B105" s="27" t="inlineStr">
        <is>
          <t>Gorros descartables</t>
        </is>
      </c>
      <c r="C105" s="28" t="inlineStr">
        <is>
          <t>paquete x100</t>
        </is>
      </c>
      <c r="D105" s="29" t="n">
        <v>1</v>
      </c>
      <c r="E105" s="30" t="n">
        <v>12</v>
      </c>
      <c r="F105" s="30">
        <f>D105*E105</f>
        <v/>
      </c>
    </row>
    <row r="106">
      <c r="A106" s="31" t="inlineStr">
        <is>
          <t>Mesas acero inox</t>
        </is>
      </c>
      <c r="B106" s="31" t="inlineStr">
        <is>
          <t>Mascarillas</t>
        </is>
      </c>
      <c r="C106" s="32" t="inlineStr">
        <is>
          <t>paquete x50</t>
        </is>
      </c>
      <c r="D106" s="33" t="n">
        <v>1</v>
      </c>
      <c r="E106" s="34" t="n">
        <v>12</v>
      </c>
      <c r="F106" s="34">
        <f>D106*E106</f>
        <v/>
      </c>
    </row>
    <row r="107">
      <c r="A107" s="27" t="inlineStr">
        <is>
          <t>Mesas acero inox</t>
        </is>
      </c>
      <c r="B107" s="27" t="inlineStr">
        <is>
          <t>Detergente industrial</t>
        </is>
      </c>
      <c r="C107" s="28" t="inlineStr">
        <is>
          <t>kg</t>
        </is>
      </c>
      <c r="D107" s="29" t="n">
        <v>1</v>
      </c>
      <c r="E107" s="30" t="n">
        <v>15</v>
      </c>
      <c r="F107" s="30">
        <f>D107*E107</f>
        <v/>
      </c>
    </row>
    <row r="108" ht="20" customHeight="1">
      <c r="A108" s="35" t="inlineStr">
        <is>
          <t>TOTAL</t>
        </is>
      </c>
      <c r="B108" s="35" t="inlineStr">
        <is>
          <t>Industria Alimentaria</t>
        </is>
      </c>
      <c r="C108" s="36" t="n"/>
      <c r="D108" s="36" t="n"/>
      <c r="E108" s="36" t="n"/>
      <c r="F108" s="37">
        <f>SUM(F97:F107)</f>
        <v/>
      </c>
    </row>
    <row r="110" ht="22" customHeight="1">
      <c r="A110" s="25" t="inlineStr">
        <is>
          <t>INDUSTRIA DEL VESTIDO</t>
        </is>
      </c>
      <c r="B110" s="25" t="n"/>
      <c r="C110" s="25" t="n"/>
      <c r="D110" s="25" t="n"/>
      <c r="E110" s="25" t="n"/>
      <c r="F110" s="25" t="n"/>
    </row>
    <row r="111">
      <c r="A111" s="26" t="inlineStr">
        <is>
          <t>Equipo</t>
        </is>
      </c>
      <c r="B111" s="26" t="inlineStr">
        <is>
          <t>Consumible</t>
        </is>
      </c>
      <c r="C111" s="26" t="inlineStr">
        <is>
          <t>Unidad</t>
        </is>
      </c>
      <c r="D111" s="26" t="inlineStr">
        <is>
          <t>Cantidad</t>
        </is>
      </c>
      <c r="E111" s="26" t="inlineStr">
        <is>
          <t>Precio Unit. (S/.)</t>
        </is>
      </c>
      <c r="F111" s="26" t="inlineStr">
        <is>
          <t>Subtotal</t>
        </is>
      </c>
    </row>
    <row r="112">
      <c r="A112" s="27" t="inlineStr">
        <is>
          <t>Máq. costura industrial</t>
        </is>
      </c>
      <c r="B112" s="27" t="inlineStr">
        <is>
          <t>Hilo cono Nro.40 (blanco)</t>
        </is>
      </c>
      <c r="C112" s="28" t="inlineStr">
        <is>
          <t>cono</t>
        </is>
      </c>
      <c r="D112" s="29" t="n">
        <v>2</v>
      </c>
      <c r="E112" s="30" t="n">
        <v>12</v>
      </c>
      <c r="F112" s="30">
        <f>D112*E112</f>
        <v/>
      </c>
    </row>
    <row r="113">
      <c r="A113" s="31" t="inlineStr">
        <is>
          <t>Máq. costura industrial</t>
        </is>
      </c>
      <c r="B113" s="31" t="inlineStr">
        <is>
          <t>Hilo cono Nro.40 (colores)</t>
        </is>
      </c>
      <c r="C113" s="32" t="inlineStr">
        <is>
          <t>cono</t>
        </is>
      </c>
      <c r="D113" s="33" t="n">
        <v>3</v>
      </c>
      <c r="E113" s="34" t="n">
        <v>12</v>
      </c>
      <c r="F113" s="34">
        <f>D113*E113</f>
        <v/>
      </c>
    </row>
    <row r="114">
      <c r="A114" s="27" t="inlineStr">
        <is>
          <t>Máq. costura industrial</t>
        </is>
      </c>
      <c r="B114" s="27" t="inlineStr">
        <is>
          <t>Agujas industriales 14/90</t>
        </is>
      </c>
      <c r="C114" s="28" t="inlineStr">
        <is>
          <t>caja x10</t>
        </is>
      </c>
      <c r="D114" s="29" t="n">
        <v>2</v>
      </c>
      <c r="E114" s="30" t="n">
        <v>18</v>
      </c>
      <c r="F114" s="30">
        <f>D114*E114</f>
        <v/>
      </c>
    </row>
    <row r="115">
      <c r="A115" s="31" t="inlineStr">
        <is>
          <t>Overlock (remalladora)</t>
        </is>
      </c>
      <c r="B115" s="31" t="inlineStr">
        <is>
          <t>Hilos overlock x4 colores</t>
        </is>
      </c>
      <c r="C115" s="32" t="inlineStr">
        <is>
          <t>cono</t>
        </is>
      </c>
      <c r="D115" s="33" t="n">
        <v>8</v>
      </c>
      <c r="E115" s="34" t="n">
        <v>10</v>
      </c>
      <c r="F115" s="34">
        <f>D115*E115</f>
        <v/>
      </c>
    </row>
    <row r="116">
      <c r="A116" s="27" t="inlineStr">
        <is>
          <t>Overlock (remalladora)</t>
        </is>
      </c>
      <c r="B116" s="27" t="inlineStr">
        <is>
          <t>Agujas overlock</t>
        </is>
      </c>
      <c r="C116" s="28" t="inlineStr">
        <is>
          <t>paquete x10</t>
        </is>
      </c>
      <c r="D116" s="29" t="n">
        <v>1</v>
      </c>
      <c r="E116" s="30" t="n">
        <v>14</v>
      </c>
      <c r="F116" s="30">
        <f>D116*E116</f>
        <v/>
      </c>
    </row>
    <row r="117">
      <c r="A117" s="31" t="inlineStr">
        <is>
          <t>Recubridora</t>
        </is>
      </c>
      <c r="B117" s="31" t="inlineStr">
        <is>
          <t>Hilos recubridora</t>
        </is>
      </c>
      <c r="C117" s="32" t="inlineStr">
        <is>
          <t>cono</t>
        </is>
      </c>
      <c r="D117" s="33" t="n">
        <v>6</v>
      </c>
      <c r="E117" s="34" t="n">
        <v>10</v>
      </c>
      <c r="F117" s="34">
        <f>D117*E117</f>
        <v/>
      </c>
    </row>
    <row r="118">
      <c r="A118" s="27" t="inlineStr">
        <is>
          <t>Recubridora</t>
        </is>
      </c>
      <c r="B118" s="27" t="inlineStr">
        <is>
          <t>Agujas recubridora</t>
        </is>
      </c>
      <c r="C118" s="28" t="inlineStr">
        <is>
          <t>paquete x5</t>
        </is>
      </c>
      <c r="D118" s="29" t="n">
        <v>1</v>
      </c>
      <c r="E118" s="30" t="n">
        <v>16</v>
      </c>
      <c r="F118" s="30">
        <f>D118*E118</f>
        <v/>
      </c>
    </row>
    <row r="119">
      <c r="A119" s="31" t="inlineStr">
        <is>
          <t>Cortadora circular</t>
        </is>
      </c>
      <c r="B119" s="31" t="inlineStr">
        <is>
          <t>Hoja de corte (reemplazo)</t>
        </is>
      </c>
      <c r="C119" s="32" t="inlineStr">
        <is>
          <t>unidad</t>
        </is>
      </c>
      <c r="D119" s="33" t="n">
        <v>2</v>
      </c>
      <c r="E119" s="34" t="n">
        <v>45</v>
      </c>
      <c r="F119" s="34">
        <f>D119*E119</f>
        <v/>
      </c>
    </row>
    <row r="120">
      <c r="A120" s="27" t="inlineStr">
        <is>
          <t>Plancha industrial</t>
        </is>
      </c>
      <c r="B120" s="27" t="inlineStr">
        <is>
          <t>Agua destilada</t>
        </is>
      </c>
      <c r="C120" s="28" t="inlineStr">
        <is>
          <t>litro</t>
        </is>
      </c>
      <c r="D120" s="29" t="n">
        <v>2</v>
      </c>
      <c r="E120" s="30" t="n">
        <v>4</v>
      </c>
      <c r="F120" s="30">
        <f>D120*E120</f>
        <v/>
      </c>
    </row>
    <row r="121">
      <c r="A121" s="31" t="inlineStr">
        <is>
          <t>Material de práctica</t>
        </is>
      </c>
      <c r="B121" s="31" t="inlineStr">
        <is>
          <t>Tela popelina básica</t>
        </is>
      </c>
      <c r="C121" s="32" t="inlineStr">
        <is>
          <t>metro</t>
        </is>
      </c>
      <c r="D121" s="33" t="n">
        <v>8</v>
      </c>
      <c r="E121" s="34" t="n">
        <v>8</v>
      </c>
      <c r="F121" s="34">
        <f>D121*E121</f>
        <v/>
      </c>
    </row>
    <row r="122">
      <c r="A122" s="27" t="inlineStr">
        <is>
          <t>Material de práctica</t>
        </is>
      </c>
      <c r="B122" s="27" t="inlineStr">
        <is>
          <t>Tela drill 14oz</t>
        </is>
      </c>
      <c r="C122" s="28" t="inlineStr">
        <is>
          <t>metro</t>
        </is>
      </c>
      <c r="D122" s="29" t="n">
        <v>4</v>
      </c>
      <c r="E122" s="30" t="n">
        <v>12</v>
      </c>
      <c r="F122" s="30">
        <f>D122*E122</f>
        <v/>
      </c>
    </row>
    <row r="123" ht="20" customHeight="1">
      <c r="A123" s="35" t="inlineStr">
        <is>
          <t>TOTAL</t>
        </is>
      </c>
      <c r="B123" s="35" t="inlineStr">
        <is>
          <t>Industria del Vestido</t>
        </is>
      </c>
      <c r="C123" s="36" t="n"/>
      <c r="D123" s="36" t="n"/>
      <c r="E123" s="36" t="n"/>
      <c r="F123" s="37">
        <f>SUM(F112:F122)</f>
        <v/>
      </c>
    </row>
    <row r="125" ht="22" customHeight="1">
      <c r="A125" s="25" t="inlineStr">
        <is>
          <t>MECÁNICA AUTOMOTRIZ</t>
        </is>
      </c>
      <c r="B125" s="25" t="n"/>
      <c r="C125" s="25" t="n"/>
      <c r="D125" s="25" t="n"/>
      <c r="E125" s="25" t="n"/>
      <c r="F125" s="25" t="n"/>
    </row>
    <row r="126">
      <c r="A126" s="26" t="inlineStr">
        <is>
          <t>Equipo</t>
        </is>
      </c>
      <c r="B126" s="26" t="inlineStr">
        <is>
          <t>Consumible</t>
        </is>
      </c>
      <c r="C126" s="26" t="inlineStr">
        <is>
          <t>Unidad</t>
        </is>
      </c>
      <c r="D126" s="26" t="inlineStr">
        <is>
          <t>Cantidad</t>
        </is>
      </c>
      <c r="E126" s="26" t="inlineStr">
        <is>
          <t>Precio Unit. (S/.)</t>
        </is>
      </c>
      <c r="F126" s="26" t="inlineStr">
        <is>
          <t>Subtotal</t>
        </is>
      </c>
    </row>
    <row r="127">
      <c r="A127" s="27" t="inlineStr">
        <is>
          <t>Elevador hidráulico</t>
        </is>
      </c>
      <c r="B127" s="27" t="inlineStr">
        <is>
          <t>Aceite hidráulico ISO 46</t>
        </is>
      </c>
      <c r="C127" s="28" t="inlineStr">
        <is>
          <t>litro</t>
        </is>
      </c>
      <c r="D127" s="29" t="n">
        <v>1</v>
      </c>
      <c r="E127" s="30" t="n">
        <v>22</v>
      </c>
      <c r="F127" s="30">
        <f>D127*E127</f>
        <v/>
      </c>
    </row>
    <row r="128">
      <c r="A128" s="31" t="inlineStr">
        <is>
          <t>Desmontadora neumáticos</t>
        </is>
      </c>
      <c r="B128" s="31" t="inlineStr">
        <is>
          <t>Lubricante de montaje</t>
        </is>
      </c>
      <c r="C128" s="32" t="inlineStr">
        <is>
          <t>litro</t>
        </is>
      </c>
      <c r="D128" s="33" t="n">
        <v>1</v>
      </c>
      <c r="E128" s="34" t="n">
        <v>18</v>
      </c>
      <c r="F128" s="34">
        <f>D128*E128</f>
        <v/>
      </c>
    </row>
    <row r="129">
      <c r="A129" s="27" t="inlineStr">
        <is>
          <t>Balanceadora</t>
        </is>
      </c>
      <c r="B129" s="27" t="inlineStr">
        <is>
          <t>Pesas adhesivas balanceo</t>
        </is>
      </c>
      <c r="C129" s="28" t="inlineStr">
        <is>
          <t>caja 100u</t>
        </is>
      </c>
      <c r="D129" s="29" t="n">
        <v>1</v>
      </c>
      <c r="E129" s="30" t="n">
        <v>48</v>
      </c>
      <c r="F129" s="30">
        <f>D129*E129</f>
        <v/>
      </c>
    </row>
    <row r="130">
      <c r="A130" s="31" t="inlineStr">
        <is>
          <t>Compresor de aire</t>
        </is>
      </c>
      <c r="B130" s="31" t="inlineStr">
        <is>
          <t>Aceite para compresor</t>
        </is>
      </c>
      <c r="C130" s="32" t="inlineStr">
        <is>
          <t>litro</t>
        </is>
      </c>
      <c r="D130" s="33" t="n">
        <v>0.5</v>
      </c>
      <c r="E130" s="34" t="n">
        <v>25</v>
      </c>
      <c r="F130" s="34">
        <f>D130*E130</f>
        <v/>
      </c>
    </row>
    <row r="131">
      <c r="A131" s="27" t="inlineStr">
        <is>
          <t>Práctica cambio aceite</t>
        </is>
      </c>
      <c r="B131" s="27" t="inlineStr">
        <is>
          <t>Aceite motor 15W40</t>
        </is>
      </c>
      <c r="C131" s="28" t="inlineStr">
        <is>
          <t>litro</t>
        </is>
      </c>
      <c r="D131" s="29" t="n">
        <v>4</v>
      </c>
      <c r="E131" s="30" t="n">
        <v>14</v>
      </c>
      <c r="F131" s="30">
        <f>D131*E131</f>
        <v/>
      </c>
    </row>
    <row r="132">
      <c r="A132" s="31" t="inlineStr">
        <is>
          <t>Práctica cambio aceite</t>
        </is>
      </c>
      <c r="B132" s="31" t="inlineStr">
        <is>
          <t>Filtro de aceite</t>
        </is>
      </c>
      <c r="C132" s="32" t="inlineStr">
        <is>
          <t>unidad</t>
        </is>
      </c>
      <c r="D132" s="33" t="n">
        <v>2</v>
      </c>
      <c r="E132" s="34" t="n">
        <v>28</v>
      </c>
      <c r="F132" s="34">
        <f>D132*E132</f>
        <v/>
      </c>
    </row>
    <row r="133">
      <c r="A133" s="27" t="inlineStr">
        <is>
          <t>Práctica cambio aceite</t>
        </is>
      </c>
      <c r="B133" s="27" t="inlineStr">
        <is>
          <t>Trapo industrial</t>
        </is>
      </c>
      <c r="C133" s="28" t="inlineStr">
        <is>
          <t>kg</t>
        </is>
      </c>
      <c r="D133" s="29" t="n">
        <v>1</v>
      </c>
      <c r="E133" s="30" t="n">
        <v>12</v>
      </c>
      <c r="F133" s="30">
        <f>D133*E133</f>
        <v/>
      </c>
    </row>
    <row r="134">
      <c r="A134" s="31" t="inlineStr">
        <is>
          <t>Práctica de frenos</t>
        </is>
      </c>
      <c r="B134" s="31" t="inlineStr">
        <is>
          <t>Pastillas de freno (par)</t>
        </is>
      </c>
      <c r="C134" s="32" t="inlineStr">
        <is>
          <t>par</t>
        </is>
      </c>
      <c r="D134" s="33" t="n">
        <v>1</v>
      </c>
      <c r="E134" s="34" t="n">
        <v>48</v>
      </c>
      <c r="F134" s="34">
        <f>D134*E134</f>
        <v/>
      </c>
    </row>
    <row r="135">
      <c r="A135" s="27" t="inlineStr">
        <is>
          <t>Práctica de frenos</t>
        </is>
      </c>
      <c r="B135" s="27" t="inlineStr">
        <is>
          <t>Líquido de frenos DOT4</t>
        </is>
      </c>
      <c r="C135" s="28" t="inlineStr">
        <is>
          <t>frasco 500ml</t>
        </is>
      </c>
      <c r="D135" s="29" t="n">
        <v>1</v>
      </c>
      <c r="E135" s="30" t="n">
        <v>22</v>
      </c>
      <c r="F135" s="30">
        <f>D135*E135</f>
        <v/>
      </c>
    </row>
    <row r="136">
      <c r="A136" s="31" t="inlineStr">
        <is>
          <t>Práctica de frenos</t>
        </is>
      </c>
      <c r="B136" s="31" t="inlineStr">
        <is>
          <t>Limpiador de frenos</t>
        </is>
      </c>
      <c r="C136" s="32" t="inlineStr">
        <is>
          <t>spray 400ml</t>
        </is>
      </c>
      <c r="D136" s="33" t="n">
        <v>2</v>
      </c>
      <c r="E136" s="34" t="n">
        <v>18</v>
      </c>
      <c r="F136" s="34">
        <f>D136*E136</f>
        <v/>
      </c>
    </row>
    <row r="137">
      <c r="A137" s="27" t="inlineStr">
        <is>
          <t>Escáner diagnóstico</t>
        </is>
      </c>
      <c r="B137" s="27" t="inlineStr">
        <is>
          <t>Cable OBD2 repuesto</t>
        </is>
      </c>
      <c r="C137" s="28" t="inlineStr">
        <is>
          <t>unidad</t>
        </is>
      </c>
      <c r="D137" s="29" t="n">
        <v>1</v>
      </c>
      <c r="E137" s="30" t="n">
        <v>35</v>
      </c>
      <c r="F137" s="30">
        <f>D137*E137</f>
        <v/>
      </c>
    </row>
    <row r="138" ht="20" customHeight="1">
      <c r="A138" s="35" t="inlineStr">
        <is>
          <t>TOTAL</t>
        </is>
      </c>
      <c r="B138" s="35" t="inlineStr">
        <is>
          <t>Mecánica Automotriz</t>
        </is>
      </c>
      <c r="C138" s="36" t="n"/>
      <c r="D138" s="36" t="n"/>
      <c r="E138" s="36" t="n"/>
      <c r="F138" s="37">
        <f>SUM(F127:F137)</f>
        <v/>
      </c>
    </row>
    <row r="141" ht="22" customHeight="1">
      <c r="A141" s="38" t="inlineStr">
        <is>
          <t>Especialidad</t>
        </is>
      </c>
      <c r="B141" s="38" t="inlineStr">
        <is>
          <t>Total Consumibles (S/.)</t>
        </is>
      </c>
    </row>
    <row r="142">
      <c r="A142" s="27" t="inlineStr">
        <is>
          <t>Cocina y Repostería</t>
        </is>
      </c>
      <c r="B142" s="39">
        <f>F17</f>
        <v/>
      </c>
    </row>
    <row r="143">
      <c r="A143" s="31" t="inlineStr">
        <is>
          <t>Computación e Informática</t>
        </is>
      </c>
      <c r="B143" s="40">
        <f>F29</f>
        <v/>
      </c>
    </row>
    <row r="144">
      <c r="A144" s="27" t="inlineStr">
        <is>
          <t>Construcciones Metálicas</t>
        </is>
      </c>
      <c r="B144" s="39">
        <f>F45</f>
        <v/>
      </c>
    </row>
    <row r="145">
      <c r="A145" s="31" t="inlineStr">
        <is>
          <t>Ebanistería</t>
        </is>
      </c>
      <c r="B145" s="40">
        <f>F62</f>
        <v/>
      </c>
    </row>
    <row r="146">
      <c r="A146" s="27" t="inlineStr">
        <is>
          <t>Electricidad</t>
        </is>
      </c>
      <c r="B146" s="39">
        <f>F77</f>
        <v/>
      </c>
    </row>
    <row r="147">
      <c r="A147" s="31" t="inlineStr">
        <is>
          <t>Electrónica</t>
        </is>
      </c>
      <c r="B147" s="40">
        <f>F93</f>
        <v/>
      </c>
    </row>
    <row r="148">
      <c r="A148" s="27" t="inlineStr">
        <is>
          <t>Industria Alimentaria</t>
        </is>
      </c>
      <c r="B148" s="39">
        <f>F108</f>
        <v/>
      </c>
    </row>
    <row r="149">
      <c r="A149" s="31" t="inlineStr">
        <is>
          <t>Industria del Vestido</t>
        </is>
      </c>
      <c r="B149" s="40">
        <f>F123</f>
        <v/>
      </c>
    </row>
    <row r="150">
      <c r="A150" s="27" t="inlineStr">
        <is>
          <t>Mecánica Automotriz</t>
        </is>
      </c>
      <c r="B150" s="39">
        <f>F138</f>
        <v/>
      </c>
    </row>
    <row r="151" ht="22" customHeight="1">
      <c r="A151" s="41" t="inlineStr">
        <is>
          <t>GRAN TOTAL CONSUMIBLES</t>
        </is>
      </c>
      <c r="B151" s="42">
        <f>SUM(B142:B150)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5"/>
  <sheetViews>
    <sheetView showGridLines="0" workbookViewId="0">
      <pane xSplit="9" ySplit="3" topLeftCell="J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0" customWidth="1" min="3" max="3"/>
    <col width="7" customWidth="1" min="4" max="4"/>
    <col width="30" customWidth="1" min="5" max="5"/>
    <col width="7" customWidth="1" min="6" max="6"/>
    <col width="28" customWidth="1" min="7" max="7"/>
    <col width="8" customWidth="1" min="8" max="8"/>
    <col width="8" customWidth="1" min="9" max="9"/>
    <col width="10" customWidth="1" min="10" max="10"/>
    <col width="10" customWidth="1" min="11" max="11"/>
    <col width="8" customWidth="1" min="12" max="12"/>
    <col width="12" customWidth="1" min="13" max="13"/>
    <col width="12" customWidth="1" min="14" max="14"/>
    <col width="14" customWidth="1" min="15" max="15"/>
    <col width="14" customWidth="1" min="16" max="16"/>
    <col width="15" customWidth="1" min="17" max="17"/>
    <col width="12" customWidth="1" min="18" max="18"/>
    <col width="10" customWidth="1" min="19" max="19"/>
    <col width="16" customWidth="1" min="20" max="20"/>
    <col width="12" customWidth="1" min="21" max="21"/>
    <col width="16" customWidth="1" min="22" max="22"/>
    <col width="16" customWidth="1" min="23" max="23"/>
    <col width="16" customWidth="1" min="24" max="24"/>
    <col width="14" customWidth="1" min="25" max="25"/>
    <col width="8" customWidth="1" min="26" max="26"/>
    <col width="16" customWidth="1" min="27" max="27"/>
    <col width="14" customWidth="1" min="28" max="28"/>
    <col width="14" customWidth="1" min="29" max="29"/>
    <col width="18" customWidth="1" min="30" max="30"/>
  </cols>
  <sheetData>
    <row r="1" ht="28" customHeight="1">
      <c r="A1" s="1" t="inlineStr">
        <is>
          <t>PLAN DE OPERACIONES M4 — DETALLE DE TALLERES</t>
        </is>
      </c>
    </row>
    <row r="2">
      <c r="A2" s="2" t="inlineStr">
        <is>
          <t>IDENTIFICACIÓN</t>
        </is>
      </c>
      <c r="I2" s="2" t="inlineStr">
        <is>
          <t>TÉCNICOS</t>
        </is>
      </c>
      <c r="M2" s="2" t="inlineStr">
        <is>
          <t>COSTO LABORAL</t>
        </is>
      </c>
      <c r="R2" s="2" t="inlineStr">
        <is>
          <t>VIÁTICOS</t>
        </is>
      </c>
      <c r="U2" s="2" t="inlineStr">
        <is>
          <t>TRANSPORTE INTERNO</t>
        </is>
      </c>
      <c r="W2" s="2" t="inlineStr">
        <is>
          <t>TRASLADO</t>
        </is>
      </c>
      <c r="Y2" s="2" t="inlineStr">
        <is>
          <t>HOSPEDAJE</t>
        </is>
      </c>
      <c r="AB2" s="2" t="inlineStr">
        <is>
          <t>MATERIALES</t>
        </is>
      </c>
      <c r="AD2" s="2" t="inlineStr">
        <is>
          <t>TOTAL</t>
        </is>
      </c>
    </row>
    <row r="3" ht="36" customHeight="1">
      <c r="A3" s="3" t="inlineStr">
        <is>
          <t>N°</t>
        </is>
      </c>
      <c r="B3" s="3" t="inlineStr">
        <is>
          <t>Código</t>
        </is>
      </c>
      <c r="C3" s="3" t="inlineStr">
        <is>
          <t>IE Nombre</t>
        </is>
      </c>
      <c r="D3" s="3" t="inlineStr">
        <is>
          <t>IE Cód</t>
        </is>
      </c>
      <c r="E3" s="3" t="inlineStr">
        <is>
          <t>Ubicación</t>
        </is>
      </c>
      <c r="F3" s="3" t="inlineStr">
        <is>
          <t>Grupo</t>
        </is>
      </c>
      <c r="G3" s="3" t="inlineStr">
        <is>
          <t>Especialidad</t>
        </is>
      </c>
      <c r="H3" s="3" t="inlineStr">
        <is>
          <t>Apoyo
Téc.</t>
        </is>
      </c>
      <c r="I3" s="3" t="inlineStr">
        <is>
          <t>Personas</t>
        </is>
      </c>
      <c r="J3" s="3" t="inlineStr">
        <is>
          <t>Días
Lead</t>
        </is>
      </c>
      <c r="K3" s="3" t="inlineStr">
        <is>
          <t>Días
Apoyo</t>
        </is>
      </c>
      <c r="L3" s="3" t="inlineStr">
        <is>
          <t>HH/día</t>
        </is>
      </c>
      <c r="M3" s="3" t="inlineStr">
        <is>
          <t>Tarifa
Lead</t>
        </is>
      </c>
      <c r="N3" s="3" t="inlineStr">
        <is>
          <t>Tarifa
Apoyo</t>
        </is>
      </c>
      <c r="O3" s="3" t="inlineStr">
        <is>
          <t>Costo
Lead</t>
        </is>
      </c>
      <c r="P3" s="3" t="inlineStr">
        <is>
          <t>Costo
Apoyo</t>
        </is>
      </c>
      <c r="Q3" s="3" t="inlineStr">
        <is>
          <t>SUB
LABORAL</t>
        </is>
      </c>
      <c r="R3" s="3" t="inlineStr">
        <is>
          <t>Viático
/día</t>
        </is>
      </c>
      <c r="S3" s="3" t="inlineStr">
        <is>
          <t>Días
Viático</t>
        </is>
      </c>
      <c r="T3" s="3" t="inlineStr">
        <is>
          <t>COSTO
VIÁTICOS</t>
        </is>
      </c>
      <c r="U3" s="3" t="inlineStr">
        <is>
          <t>Transp
/día</t>
        </is>
      </c>
      <c r="V3" s="3" t="inlineStr">
        <is>
          <t>COSTO
TRANSP</t>
        </is>
      </c>
      <c r="W3" s="3" t="inlineStr">
        <is>
          <t>Traslado
/pers</t>
        </is>
      </c>
      <c r="X3" s="3" t="inlineStr">
        <is>
          <t>COSTO
TRASLADO</t>
        </is>
      </c>
      <c r="Y3" s="3" t="inlineStr">
        <is>
          <t>Noche
Hosp</t>
        </is>
      </c>
      <c r="Z3" s="3" t="inlineStr">
        <is>
          <t>Noches</t>
        </is>
      </c>
      <c r="AA3" s="3" t="inlineStr">
        <is>
          <t>COSTO
HOSPEDAJE</t>
        </is>
      </c>
      <c r="AB3" s="3" t="inlineStr">
        <is>
          <t>Consumibles</t>
        </is>
      </c>
      <c r="AC3" s="3" t="inlineStr">
        <is>
          <t>Mat.
Didáct.</t>
        </is>
      </c>
      <c r="AD3" s="3" t="inlineStr">
        <is>
          <t>TOTAL</t>
        </is>
      </c>
    </row>
    <row r="4">
      <c r="A4" s="9" t="n">
        <v>1</v>
      </c>
      <c r="B4" s="10" t="inlineStr">
        <is>
          <t>T-COCINA-01</t>
        </is>
      </c>
      <c r="C4" s="10" t="inlineStr">
        <is>
          <t>16449 Eloy Soberón Flores</t>
        </is>
      </c>
      <c r="D4" s="10" t="inlineStr">
        <is>
          <t>IE1</t>
        </is>
      </c>
      <c r="E4" s="10" t="inlineStr">
        <is>
          <t>Cajamarca – San Ignacio</t>
        </is>
      </c>
      <c r="F4" s="9" t="inlineStr">
        <is>
          <t>C</t>
        </is>
      </c>
      <c r="G4" s="10" t="inlineStr">
        <is>
          <t>Cocina y Repostería</t>
        </is>
      </c>
      <c r="H4" s="9" t="inlineStr">
        <is>
          <t>NO</t>
        </is>
      </c>
      <c r="I4" s="9">
        <f>IF(H4="SI",2,1)</f>
        <v/>
      </c>
      <c r="J4" s="9">
        <f>PREMISAS!C11</f>
        <v/>
      </c>
      <c r="K4" s="9">
        <f>PREMISAS!C12</f>
        <v/>
      </c>
      <c r="L4" s="9">
        <f>PREMISAS!C9</f>
        <v/>
      </c>
      <c r="M4" s="11">
        <f>VLOOKUP(G4,PREMISAS!$B$16:$D$24,2,0)</f>
        <v/>
      </c>
      <c r="N4" s="11">
        <f>VLOOKUP(G4,PREMISAS!$B$16:$D$24,3,0)</f>
        <v/>
      </c>
      <c r="O4" s="11">
        <f>J4*L4*M4</f>
        <v/>
      </c>
      <c r="P4" s="11">
        <f>IF(H4="SI",K4*L4*N4,0)</f>
        <v/>
      </c>
      <c r="Q4" s="12">
        <f>O4+P4</f>
        <v/>
      </c>
      <c r="R4" s="11">
        <f>VLOOKUP(F4,PREMISAS!$B$28:$F$30,3,0)</f>
        <v/>
      </c>
      <c r="S4" s="9">
        <f>PREMISAS!C5+PREMISAS!C8</f>
        <v/>
      </c>
      <c r="T4" s="11">
        <f>R4*S4*I4</f>
        <v/>
      </c>
      <c r="U4" s="11">
        <f>VLOOKUP(F4,PREMISAS!$B$28:$F$30,4,0)</f>
        <v/>
      </c>
      <c r="V4" s="11">
        <f>U4*PREMISAS!C5*I4</f>
        <v/>
      </c>
      <c r="W4" s="11">
        <f>VLOOKUP(D4,PREMISAS!$B$34:$F$40,5,0)</f>
        <v/>
      </c>
      <c r="X4" s="11">
        <f>W4*I4</f>
        <v/>
      </c>
      <c r="Y4" s="11">
        <f>VLOOKUP(F4,PREMISAS!$B$28:$F$30,5,0)</f>
        <v/>
      </c>
      <c r="Z4" s="9">
        <f>PREMISAS!C10</f>
        <v/>
      </c>
      <c r="AA4" s="11">
        <f>Y4*Z4*I4</f>
        <v/>
      </c>
      <c r="AB4" s="11">
        <f>VLOOKUP(G4,PREMISAS!$B$44:$C$52,2,0)</f>
        <v/>
      </c>
      <c r="AC4" s="11">
        <f>PREMISAS!C56</f>
        <v/>
      </c>
      <c r="AD4" s="12">
        <f>Q4+T4+V4+X4+AA4+AB4+AC4+IF(F4="C",I4*PREMISAS!C57,0)</f>
        <v/>
      </c>
    </row>
    <row r="5">
      <c r="A5" s="13" t="n">
        <v>2</v>
      </c>
      <c r="B5" s="14" t="inlineStr">
        <is>
          <t>T-COMP-02</t>
        </is>
      </c>
      <c r="C5" s="14" t="inlineStr">
        <is>
          <t>2026 Simón Bolívar</t>
        </is>
      </c>
      <c r="D5" s="14" t="inlineStr">
        <is>
          <t>IE2</t>
        </is>
      </c>
      <c r="E5" s="14" t="inlineStr">
        <is>
          <t>Lima Metropolitana – Comas</t>
        </is>
      </c>
      <c r="F5" s="13" t="inlineStr">
        <is>
          <t>A</t>
        </is>
      </c>
      <c r="G5" s="14" t="inlineStr">
        <is>
          <t>Computación e Informática</t>
        </is>
      </c>
      <c r="H5" s="13" t="inlineStr">
        <is>
          <t>NO</t>
        </is>
      </c>
      <c r="I5" s="13">
        <f>IF(H5="SI",2,1)</f>
        <v/>
      </c>
      <c r="J5" s="13">
        <f>PREMISAS!C11</f>
        <v/>
      </c>
      <c r="K5" s="13">
        <f>PREMISAS!C12</f>
        <v/>
      </c>
      <c r="L5" s="13">
        <f>PREMISAS!C9</f>
        <v/>
      </c>
      <c r="M5" s="15">
        <f>VLOOKUP(G5,PREMISAS!$B$16:$D$24,2,0)</f>
        <v/>
      </c>
      <c r="N5" s="15">
        <f>VLOOKUP(G5,PREMISAS!$B$16:$D$24,3,0)</f>
        <v/>
      </c>
      <c r="O5" s="15">
        <f>J5*L5*M5</f>
        <v/>
      </c>
      <c r="P5" s="15">
        <f>IF(H5="SI",K5*L5*N5,0)</f>
        <v/>
      </c>
      <c r="Q5" s="16">
        <f>O5+P5</f>
        <v/>
      </c>
      <c r="R5" s="15">
        <f>VLOOKUP(F5,PREMISAS!$B$28:$F$30,3,0)</f>
        <v/>
      </c>
      <c r="S5" s="13">
        <f>PREMISAS!C5+PREMISAS!C8</f>
        <v/>
      </c>
      <c r="T5" s="15">
        <f>R5*S5*I5</f>
        <v/>
      </c>
      <c r="U5" s="15">
        <f>VLOOKUP(F5,PREMISAS!$B$28:$F$30,4,0)</f>
        <v/>
      </c>
      <c r="V5" s="15">
        <f>U5*PREMISAS!C5*I5</f>
        <v/>
      </c>
      <c r="W5" s="15">
        <f>VLOOKUP(D5,PREMISAS!$B$34:$F$40,5,0)</f>
        <v/>
      </c>
      <c r="X5" s="15">
        <f>W5*I5</f>
        <v/>
      </c>
      <c r="Y5" s="15">
        <f>VLOOKUP(F5,PREMISAS!$B$28:$F$30,5,0)</f>
        <v/>
      </c>
      <c r="Z5" s="13">
        <f>PREMISAS!C10</f>
        <v/>
      </c>
      <c r="AA5" s="15">
        <f>Y5*Z5*I5</f>
        <v/>
      </c>
      <c r="AB5" s="15">
        <f>VLOOKUP(G5,PREMISAS!$B$44:$C$52,2,0)</f>
        <v/>
      </c>
      <c r="AC5" s="15">
        <f>PREMISAS!C56</f>
        <v/>
      </c>
      <c r="AD5" s="16">
        <f>Q5+T5+V5+X5+AA5+AB5+AC5+IF(F5="C",I5*PREMISAS!C57,0)</f>
        <v/>
      </c>
    </row>
    <row r="6">
      <c r="A6" s="9" t="n">
        <v>3</v>
      </c>
      <c r="B6" s="10" t="inlineStr">
        <is>
          <t>T-ELEC-02</t>
        </is>
      </c>
      <c r="C6" s="10" t="inlineStr">
        <is>
          <t>2026 Simón Bolívar</t>
        </is>
      </c>
      <c r="D6" s="10" t="inlineStr">
        <is>
          <t>IE2</t>
        </is>
      </c>
      <c r="E6" s="10" t="inlineStr">
        <is>
          <t>Lima Metropolitana – Comas</t>
        </is>
      </c>
      <c r="F6" s="9" t="inlineStr">
        <is>
          <t>A</t>
        </is>
      </c>
      <c r="G6" s="10" t="inlineStr">
        <is>
          <t>Electricidad</t>
        </is>
      </c>
      <c r="H6" s="9" t="inlineStr">
        <is>
          <t>SI</t>
        </is>
      </c>
      <c r="I6" s="9">
        <f>IF(H6="SI",2,1)</f>
        <v/>
      </c>
      <c r="J6" s="9">
        <f>PREMISAS!C11</f>
        <v/>
      </c>
      <c r="K6" s="9">
        <f>PREMISAS!C12</f>
        <v/>
      </c>
      <c r="L6" s="9">
        <f>PREMISAS!C9</f>
        <v/>
      </c>
      <c r="M6" s="11">
        <f>VLOOKUP(G6,PREMISAS!$B$16:$D$24,2,0)</f>
        <v/>
      </c>
      <c r="N6" s="11">
        <f>VLOOKUP(G6,PREMISAS!$B$16:$D$24,3,0)</f>
        <v/>
      </c>
      <c r="O6" s="11">
        <f>J6*L6*M6</f>
        <v/>
      </c>
      <c r="P6" s="11">
        <f>IF(H6="SI",K6*L6*N6,0)</f>
        <v/>
      </c>
      <c r="Q6" s="12">
        <f>O6+P6</f>
        <v/>
      </c>
      <c r="R6" s="11">
        <f>VLOOKUP(F6,PREMISAS!$B$28:$F$30,3,0)</f>
        <v/>
      </c>
      <c r="S6" s="9">
        <f>PREMISAS!C5+PREMISAS!C8</f>
        <v/>
      </c>
      <c r="T6" s="11">
        <f>R6*S6*I6</f>
        <v/>
      </c>
      <c r="U6" s="11">
        <f>VLOOKUP(F6,PREMISAS!$B$28:$F$30,4,0)</f>
        <v/>
      </c>
      <c r="V6" s="11">
        <f>U6*PREMISAS!C5*I6</f>
        <v/>
      </c>
      <c r="W6" s="11">
        <f>VLOOKUP(D6,PREMISAS!$B$34:$F$40,5,0)</f>
        <v/>
      </c>
      <c r="X6" s="11">
        <f>W6*I6</f>
        <v/>
      </c>
      <c r="Y6" s="11">
        <f>VLOOKUP(F6,PREMISAS!$B$28:$F$30,5,0)</f>
        <v/>
      </c>
      <c r="Z6" s="9">
        <f>PREMISAS!C10</f>
        <v/>
      </c>
      <c r="AA6" s="11">
        <f>Y6*Z6*I6</f>
        <v/>
      </c>
      <c r="AB6" s="11">
        <f>VLOOKUP(G6,PREMISAS!$B$44:$C$52,2,0)</f>
        <v/>
      </c>
      <c r="AC6" s="11">
        <f>PREMISAS!C56</f>
        <v/>
      </c>
      <c r="AD6" s="12">
        <f>Q6+T6+V6+X6+AA6+AB6+AC6+IF(F6="C",I6*PREMISAS!C57,0)</f>
        <v/>
      </c>
    </row>
    <row r="7">
      <c r="A7" s="13" t="n">
        <v>4</v>
      </c>
      <c r="B7" s="14" t="inlineStr">
        <is>
          <t>T-INDUS.A-02</t>
        </is>
      </c>
      <c r="C7" s="14" t="inlineStr">
        <is>
          <t>2026 Simón Bolívar</t>
        </is>
      </c>
      <c r="D7" s="14" t="inlineStr">
        <is>
          <t>IE2</t>
        </is>
      </c>
      <c r="E7" s="14" t="inlineStr">
        <is>
          <t>Lima Metropolitana – Comas</t>
        </is>
      </c>
      <c r="F7" s="13" t="inlineStr">
        <is>
          <t>A</t>
        </is>
      </c>
      <c r="G7" s="14" t="inlineStr">
        <is>
          <t>Industria Alimentaria</t>
        </is>
      </c>
      <c r="H7" s="13" t="inlineStr">
        <is>
          <t>NO</t>
        </is>
      </c>
      <c r="I7" s="13">
        <f>IF(H7="SI",2,1)</f>
        <v/>
      </c>
      <c r="J7" s="13">
        <f>PREMISAS!C11</f>
        <v/>
      </c>
      <c r="K7" s="13">
        <f>PREMISAS!C12</f>
        <v/>
      </c>
      <c r="L7" s="13">
        <f>PREMISAS!C9</f>
        <v/>
      </c>
      <c r="M7" s="15">
        <f>VLOOKUP(G7,PREMISAS!$B$16:$D$24,2,0)</f>
        <v/>
      </c>
      <c r="N7" s="15">
        <f>VLOOKUP(G7,PREMISAS!$B$16:$D$24,3,0)</f>
        <v/>
      </c>
      <c r="O7" s="15">
        <f>J7*L7*M7</f>
        <v/>
      </c>
      <c r="P7" s="15">
        <f>IF(H7="SI",K7*L7*N7,0)</f>
        <v/>
      </c>
      <c r="Q7" s="16">
        <f>O7+P7</f>
        <v/>
      </c>
      <c r="R7" s="15">
        <f>VLOOKUP(F7,PREMISAS!$B$28:$F$30,3,0)</f>
        <v/>
      </c>
      <c r="S7" s="13">
        <f>PREMISAS!C5+PREMISAS!C8</f>
        <v/>
      </c>
      <c r="T7" s="15">
        <f>R7*S7*I7</f>
        <v/>
      </c>
      <c r="U7" s="15">
        <f>VLOOKUP(F7,PREMISAS!$B$28:$F$30,4,0)</f>
        <v/>
      </c>
      <c r="V7" s="15">
        <f>U7*PREMISAS!C5*I7</f>
        <v/>
      </c>
      <c r="W7" s="15">
        <f>VLOOKUP(D7,PREMISAS!$B$34:$F$40,5,0)</f>
        <v/>
      </c>
      <c r="X7" s="15">
        <f>W7*I7</f>
        <v/>
      </c>
      <c r="Y7" s="15">
        <f>VLOOKUP(F7,PREMISAS!$B$28:$F$30,5,0)</f>
        <v/>
      </c>
      <c r="Z7" s="13">
        <f>PREMISAS!C10</f>
        <v/>
      </c>
      <c r="AA7" s="15">
        <f>Y7*Z7*I7</f>
        <v/>
      </c>
      <c r="AB7" s="15">
        <f>VLOOKUP(G7,PREMISAS!$B$44:$C$52,2,0)</f>
        <v/>
      </c>
      <c r="AC7" s="15">
        <f>PREMISAS!C56</f>
        <v/>
      </c>
      <c r="AD7" s="16">
        <f>Q7+T7+V7+X7+AA7+AB7+AC7+IF(F7="C",I7*PREMISAS!C57,0)</f>
        <v/>
      </c>
    </row>
    <row r="8">
      <c r="A8" s="9" t="n">
        <v>5</v>
      </c>
      <c r="B8" s="10" t="inlineStr">
        <is>
          <t>T-INDUS.V-02</t>
        </is>
      </c>
      <c r="C8" s="10" t="inlineStr">
        <is>
          <t>2026 Simón Bolívar</t>
        </is>
      </c>
      <c r="D8" s="10" t="inlineStr">
        <is>
          <t>IE2</t>
        </is>
      </c>
      <c r="E8" s="10" t="inlineStr">
        <is>
          <t>Lima Metropolitana – Comas</t>
        </is>
      </c>
      <c r="F8" s="9" t="inlineStr">
        <is>
          <t>A</t>
        </is>
      </c>
      <c r="G8" s="10" t="inlineStr">
        <is>
          <t>Industria del Vestido</t>
        </is>
      </c>
      <c r="H8" s="9" t="inlineStr">
        <is>
          <t>NO</t>
        </is>
      </c>
      <c r="I8" s="9">
        <f>IF(H8="SI",2,1)</f>
        <v/>
      </c>
      <c r="J8" s="9">
        <f>PREMISAS!C11</f>
        <v/>
      </c>
      <c r="K8" s="9">
        <f>PREMISAS!C12</f>
        <v/>
      </c>
      <c r="L8" s="9">
        <f>PREMISAS!C9</f>
        <v/>
      </c>
      <c r="M8" s="11">
        <f>VLOOKUP(G8,PREMISAS!$B$16:$D$24,2,0)</f>
        <v/>
      </c>
      <c r="N8" s="11">
        <f>VLOOKUP(G8,PREMISAS!$B$16:$D$24,3,0)</f>
        <v/>
      </c>
      <c r="O8" s="11">
        <f>J8*L8*M8</f>
        <v/>
      </c>
      <c r="P8" s="11">
        <f>IF(H8="SI",K8*L8*N8,0)</f>
        <v/>
      </c>
      <c r="Q8" s="12">
        <f>O8+P8</f>
        <v/>
      </c>
      <c r="R8" s="11">
        <f>VLOOKUP(F8,PREMISAS!$B$28:$F$30,3,0)</f>
        <v/>
      </c>
      <c r="S8" s="9">
        <f>PREMISAS!C5+PREMISAS!C8</f>
        <v/>
      </c>
      <c r="T8" s="11">
        <f>R8*S8*I8</f>
        <v/>
      </c>
      <c r="U8" s="11">
        <f>VLOOKUP(F8,PREMISAS!$B$28:$F$30,4,0)</f>
        <v/>
      </c>
      <c r="V8" s="11">
        <f>U8*PREMISAS!C5*I8</f>
        <v/>
      </c>
      <c r="W8" s="11">
        <f>VLOOKUP(D8,PREMISAS!$B$34:$F$40,5,0)</f>
        <v/>
      </c>
      <c r="X8" s="11">
        <f>W8*I8</f>
        <v/>
      </c>
      <c r="Y8" s="11">
        <f>VLOOKUP(F8,PREMISAS!$B$28:$F$30,5,0)</f>
        <v/>
      </c>
      <c r="Z8" s="9">
        <f>PREMISAS!C10</f>
        <v/>
      </c>
      <c r="AA8" s="11">
        <f>Y8*Z8*I8</f>
        <v/>
      </c>
      <c r="AB8" s="11">
        <f>VLOOKUP(G8,PREMISAS!$B$44:$C$52,2,0)</f>
        <v/>
      </c>
      <c r="AC8" s="11">
        <f>PREMISAS!C56</f>
        <v/>
      </c>
      <c r="AD8" s="12">
        <f>Q8+T8+V8+X8+AA8+AB8+AC8+IF(F8="C",I8*PREMISAS!C57,0)</f>
        <v/>
      </c>
    </row>
    <row r="9">
      <c r="A9" s="13" t="n">
        <v>6</v>
      </c>
      <c r="B9" s="14" t="inlineStr">
        <is>
          <t>T-COMP-03</t>
        </is>
      </c>
      <c r="C9" s="14" t="inlineStr">
        <is>
          <t>6049 Ricardo Palma</t>
        </is>
      </c>
      <c r="D9" s="14" t="inlineStr">
        <is>
          <t>IE3</t>
        </is>
      </c>
      <c r="E9" s="14" t="inlineStr">
        <is>
          <t>Lima Metropolitana – Surquillo</t>
        </is>
      </c>
      <c r="F9" s="13" t="inlineStr">
        <is>
          <t>A</t>
        </is>
      </c>
      <c r="G9" s="14" t="inlineStr">
        <is>
          <t>Computación e Informática</t>
        </is>
      </c>
      <c r="H9" s="13" t="inlineStr">
        <is>
          <t>NO</t>
        </is>
      </c>
      <c r="I9" s="13">
        <f>IF(H9="SI",2,1)</f>
        <v/>
      </c>
      <c r="J9" s="13">
        <f>PREMISAS!C11</f>
        <v/>
      </c>
      <c r="K9" s="13">
        <f>PREMISAS!C12</f>
        <v/>
      </c>
      <c r="L9" s="13">
        <f>PREMISAS!C9</f>
        <v/>
      </c>
      <c r="M9" s="15">
        <f>VLOOKUP(G9,PREMISAS!$B$16:$D$24,2,0)</f>
        <v/>
      </c>
      <c r="N9" s="15">
        <f>VLOOKUP(G9,PREMISAS!$B$16:$D$24,3,0)</f>
        <v/>
      </c>
      <c r="O9" s="15">
        <f>J9*L9*M9</f>
        <v/>
      </c>
      <c r="P9" s="15">
        <f>IF(H9="SI",K9*L9*N9,0)</f>
        <v/>
      </c>
      <c r="Q9" s="16">
        <f>O9+P9</f>
        <v/>
      </c>
      <c r="R9" s="15">
        <f>VLOOKUP(F9,PREMISAS!$B$28:$F$30,3,0)</f>
        <v/>
      </c>
      <c r="S9" s="13">
        <f>PREMISAS!C5+PREMISAS!C8</f>
        <v/>
      </c>
      <c r="T9" s="15">
        <f>R9*S9*I9</f>
        <v/>
      </c>
      <c r="U9" s="15">
        <f>VLOOKUP(F9,PREMISAS!$B$28:$F$30,4,0)</f>
        <v/>
      </c>
      <c r="V9" s="15">
        <f>U9*PREMISAS!C5*I9</f>
        <v/>
      </c>
      <c r="W9" s="15">
        <f>VLOOKUP(D9,PREMISAS!$B$34:$F$40,5,0)</f>
        <v/>
      </c>
      <c r="X9" s="15">
        <f>W9*I9</f>
        <v/>
      </c>
      <c r="Y9" s="15">
        <f>VLOOKUP(F9,PREMISAS!$B$28:$F$30,5,0)</f>
        <v/>
      </c>
      <c r="Z9" s="13">
        <f>PREMISAS!C10</f>
        <v/>
      </c>
      <c r="AA9" s="15">
        <f>Y9*Z9*I9</f>
        <v/>
      </c>
      <c r="AB9" s="15">
        <f>VLOOKUP(G9,PREMISAS!$B$44:$C$52,2,0)</f>
        <v/>
      </c>
      <c r="AC9" s="15">
        <f>PREMISAS!C56</f>
        <v/>
      </c>
      <c r="AD9" s="16">
        <f>Q9+T9+V9+X9+AA9+AB9+AC9+IF(F9="C",I9*PREMISAS!C57,0)</f>
        <v/>
      </c>
    </row>
    <row r="10">
      <c r="A10" s="9" t="n">
        <v>7</v>
      </c>
      <c r="B10" s="10" t="inlineStr">
        <is>
          <t>T-ELECTRO-03</t>
        </is>
      </c>
      <c r="C10" s="10" t="inlineStr">
        <is>
          <t>6049 Ricardo Palma</t>
        </is>
      </c>
      <c r="D10" s="10" t="inlineStr">
        <is>
          <t>IE3</t>
        </is>
      </c>
      <c r="E10" s="10" t="inlineStr">
        <is>
          <t>Lima Metropolitana – Surquillo</t>
        </is>
      </c>
      <c r="F10" s="9" t="inlineStr">
        <is>
          <t>A</t>
        </is>
      </c>
      <c r="G10" s="10" t="inlineStr">
        <is>
          <t>Electrónica</t>
        </is>
      </c>
      <c r="H10" s="9" t="inlineStr">
        <is>
          <t>SI</t>
        </is>
      </c>
      <c r="I10" s="9">
        <f>IF(H10="SI",2,1)</f>
        <v/>
      </c>
      <c r="J10" s="9">
        <f>PREMISAS!C11</f>
        <v/>
      </c>
      <c r="K10" s="9">
        <f>PREMISAS!C12</f>
        <v/>
      </c>
      <c r="L10" s="9">
        <f>PREMISAS!C9</f>
        <v/>
      </c>
      <c r="M10" s="11">
        <f>VLOOKUP(G10,PREMISAS!$B$16:$D$24,2,0)</f>
        <v/>
      </c>
      <c r="N10" s="11">
        <f>VLOOKUP(G10,PREMISAS!$B$16:$D$24,3,0)</f>
        <v/>
      </c>
      <c r="O10" s="11">
        <f>J10*L10*M10</f>
        <v/>
      </c>
      <c r="P10" s="11">
        <f>IF(H10="SI",K10*L10*N10,0)</f>
        <v/>
      </c>
      <c r="Q10" s="12">
        <f>O10+P10</f>
        <v/>
      </c>
      <c r="R10" s="11">
        <f>VLOOKUP(F10,PREMISAS!$B$28:$F$30,3,0)</f>
        <v/>
      </c>
      <c r="S10" s="9">
        <f>PREMISAS!C5+PREMISAS!C8</f>
        <v/>
      </c>
      <c r="T10" s="11">
        <f>R10*S10*I10</f>
        <v/>
      </c>
      <c r="U10" s="11">
        <f>VLOOKUP(F10,PREMISAS!$B$28:$F$30,4,0)</f>
        <v/>
      </c>
      <c r="V10" s="11">
        <f>U10*PREMISAS!C5*I10</f>
        <v/>
      </c>
      <c r="W10" s="11">
        <f>VLOOKUP(D10,PREMISAS!$B$34:$F$40,5,0)</f>
        <v/>
      </c>
      <c r="X10" s="11">
        <f>W10*I10</f>
        <v/>
      </c>
      <c r="Y10" s="11">
        <f>VLOOKUP(F10,PREMISAS!$B$28:$F$30,5,0)</f>
        <v/>
      </c>
      <c r="Z10" s="9">
        <f>PREMISAS!C10</f>
        <v/>
      </c>
      <c r="AA10" s="11">
        <f>Y10*Z10*I10</f>
        <v/>
      </c>
      <c r="AB10" s="11">
        <f>VLOOKUP(G10,PREMISAS!$B$44:$C$52,2,0)</f>
        <v/>
      </c>
      <c r="AC10" s="11">
        <f>PREMISAS!C56</f>
        <v/>
      </c>
      <c r="AD10" s="12">
        <f>Q10+T10+V10+X10+AA10+AB10+AC10+IF(F10="C",I10*PREMISAS!C57,0)</f>
        <v/>
      </c>
    </row>
    <row r="11">
      <c r="A11" s="13" t="n">
        <v>8</v>
      </c>
      <c r="B11" s="14" t="inlineStr">
        <is>
          <t>T-ELEC-03</t>
        </is>
      </c>
      <c r="C11" s="14" t="inlineStr">
        <is>
          <t>6049 Ricardo Palma</t>
        </is>
      </c>
      <c r="D11" s="14" t="inlineStr">
        <is>
          <t>IE3</t>
        </is>
      </c>
      <c r="E11" s="14" t="inlineStr">
        <is>
          <t>Lima Metropolitana – Surquillo</t>
        </is>
      </c>
      <c r="F11" s="13" t="inlineStr">
        <is>
          <t>A</t>
        </is>
      </c>
      <c r="G11" s="14" t="inlineStr">
        <is>
          <t>Electricidad</t>
        </is>
      </c>
      <c r="H11" s="13" t="inlineStr">
        <is>
          <t>SI</t>
        </is>
      </c>
      <c r="I11" s="13">
        <f>IF(H11="SI",2,1)</f>
        <v/>
      </c>
      <c r="J11" s="13">
        <f>PREMISAS!C11</f>
        <v/>
      </c>
      <c r="K11" s="13">
        <f>PREMISAS!C12</f>
        <v/>
      </c>
      <c r="L11" s="13">
        <f>PREMISAS!C9</f>
        <v/>
      </c>
      <c r="M11" s="15">
        <f>VLOOKUP(G11,PREMISAS!$B$16:$D$24,2,0)</f>
        <v/>
      </c>
      <c r="N11" s="15">
        <f>VLOOKUP(G11,PREMISAS!$B$16:$D$24,3,0)</f>
        <v/>
      </c>
      <c r="O11" s="15">
        <f>J11*L11*M11</f>
        <v/>
      </c>
      <c r="P11" s="15">
        <f>IF(H11="SI",K11*L11*N11,0)</f>
        <v/>
      </c>
      <c r="Q11" s="16">
        <f>O11+P11</f>
        <v/>
      </c>
      <c r="R11" s="15">
        <f>VLOOKUP(F11,PREMISAS!$B$28:$F$30,3,0)</f>
        <v/>
      </c>
      <c r="S11" s="13">
        <f>PREMISAS!C5+PREMISAS!C8</f>
        <v/>
      </c>
      <c r="T11" s="15">
        <f>R11*S11*I11</f>
        <v/>
      </c>
      <c r="U11" s="15">
        <f>VLOOKUP(F11,PREMISAS!$B$28:$F$30,4,0)</f>
        <v/>
      </c>
      <c r="V11" s="15">
        <f>U11*PREMISAS!C5*I11</f>
        <v/>
      </c>
      <c r="W11" s="15">
        <f>VLOOKUP(D11,PREMISAS!$B$34:$F$40,5,0)</f>
        <v/>
      </c>
      <c r="X11" s="15">
        <f>W11*I11</f>
        <v/>
      </c>
      <c r="Y11" s="15">
        <f>VLOOKUP(F11,PREMISAS!$B$28:$F$30,5,0)</f>
        <v/>
      </c>
      <c r="Z11" s="13">
        <f>PREMISAS!C10</f>
        <v/>
      </c>
      <c r="AA11" s="15">
        <f>Y11*Z11*I11</f>
        <v/>
      </c>
      <c r="AB11" s="15">
        <f>VLOOKUP(G11,PREMISAS!$B$44:$C$52,2,0)</f>
        <v/>
      </c>
      <c r="AC11" s="15">
        <f>PREMISAS!C56</f>
        <v/>
      </c>
      <c r="AD11" s="16">
        <f>Q11+T11+V11+X11+AA11+AB11+AC11+IF(F11="C",I11*PREMISAS!C57,0)</f>
        <v/>
      </c>
    </row>
    <row r="12">
      <c r="A12" s="9" t="n">
        <v>9</v>
      </c>
      <c r="B12" s="10" t="inlineStr">
        <is>
          <t>T-INDUS.A-04</t>
        </is>
      </c>
      <c r="C12" s="10" t="inlineStr">
        <is>
          <t>Francisco Irazola</t>
        </is>
      </c>
      <c r="D12" s="10" t="inlineStr">
        <is>
          <t>IE4</t>
        </is>
      </c>
      <c r="E12" s="10" t="inlineStr">
        <is>
          <t>Junín – Satipo</t>
        </is>
      </c>
      <c r="F12" s="9" t="inlineStr">
        <is>
          <t>C</t>
        </is>
      </c>
      <c r="G12" s="10" t="inlineStr">
        <is>
          <t>Industria Alimentaria</t>
        </is>
      </c>
      <c r="H12" s="9" t="inlineStr">
        <is>
          <t>NO</t>
        </is>
      </c>
      <c r="I12" s="9">
        <f>IF(H12="SI",2,1)</f>
        <v/>
      </c>
      <c r="J12" s="9">
        <f>PREMISAS!C11</f>
        <v/>
      </c>
      <c r="K12" s="9">
        <f>PREMISAS!C12</f>
        <v/>
      </c>
      <c r="L12" s="9">
        <f>PREMISAS!C9</f>
        <v/>
      </c>
      <c r="M12" s="11">
        <f>VLOOKUP(G12,PREMISAS!$B$16:$D$24,2,0)</f>
        <v/>
      </c>
      <c r="N12" s="11">
        <f>VLOOKUP(G12,PREMISAS!$B$16:$D$24,3,0)</f>
        <v/>
      </c>
      <c r="O12" s="11">
        <f>J12*L12*M12</f>
        <v/>
      </c>
      <c r="P12" s="11">
        <f>IF(H12="SI",K12*L12*N12,0)</f>
        <v/>
      </c>
      <c r="Q12" s="12">
        <f>O12+P12</f>
        <v/>
      </c>
      <c r="R12" s="11">
        <f>VLOOKUP(F12,PREMISAS!$B$28:$F$30,3,0)</f>
        <v/>
      </c>
      <c r="S12" s="9">
        <f>PREMISAS!C5+PREMISAS!C8</f>
        <v/>
      </c>
      <c r="T12" s="11">
        <f>R12*S12*I12</f>
        <v/>
      </c>
      <c r="U12" s="11">
        <f>VLOOKUP(F12,PREMISAS!$B$28:$F$30,4,0)</f>
        <v/>
      </c>
      <c r="V12" s="11">
        <f>U12*PREMISAS!C5*I12</f>
        <v/>
      </c>
      <c r="W12" s="11">
        <f>VLOOKUP(D12,PREMISAS!$B$34:$F$40,5,0)</f>
        <v/>
      </c>
      <c r="X12" s="11">
        <f>W12*I12</f>
        <v/>
      </c>
      <c r="Y12" s="11">
        <f>VLOOKUP(F12,PREMISAS!$B$28:$F$30,5,0)</f>
        <v/>
      </c>
      <c r="Z12" s="9">
        <f>PREMISAS!C10</f>
        <v/>
      </c>
      <c r="AA12" s="11">
        <f>Y12*Z12*I12</f>
        <v/>
      </c>
      <c r="AB12" s="11">
        <f>VLOOKUP(G12,PREMISAS!$B$44:$C$52,2,0)</f>
        <v/>
      </c>
      <c r="AC12" s="11">
        <f>PREMISAS!C56</f>
        <v/>
      </c>
      <c r="AD12" s="12">
        <f>Q12+T12+V12+X12+AA12+AB12+AC12+IF(F12="C",I12*PREMISAS!C57,0)</f>
        <v/>
      </c>
    </row>
    <row r="13">
      <c r="A13" s="13" t="n">
        <v>10</v>
      </c>
      <c r="B13" s="14" t="inlineStr">
        <is>
          <t>T-MECA.A-04</t>
        </is>
      </c>
      <c r="C13" s="14" t="inlineStr">
        <is>
          <t>Francisco Irazola</t>
        </is>
      </c>
      <c r="D13" s="14" t="inlineStr">
        <is>
          <t>IE4</t>
        </is>
      </c>
      <c r="E13" s="14" t="inlineStr">
        <is>
          <t>Junín – Satipo</t>
        </is>
      </c>
      <c r="F13" s="13" t="inlineStr">
        <is>
          <t>C</t>
        </is>
      </c>
      <c r="G13" s="14" t="inlineStr">
        <is>
          <t>Mecánica Automotriz</t>
        </is>
      </c>
      <c r="H13" s="13" t="inlineStr">
        <is>
          <t>SI</t>
        </is>
      </c>
      <c r="I13" s="13">
        <f>IF(H13="SI",2,1)</f>
        <v/>
      </c>
      <c r="J13" s="13">
        <f>PREMISAS!C11</f>
        <v/>
      </c>
      <c r="K13" s="13">
        <f>PREMISAS!C12</f>
        <v/>
      </c>
      <c r="L13" s="13">
        <f>PREMISAS!C9</f>
        <v/>
      </c>
      <c r="M13" s="15">
        <f>VLOOKUP(G13,PREMISAS!$B$16:$D$24,2,0)</f>
        <v/>
      </c>
      <c r="N13" s="15">
        <f>VLOOKUP(G13,PREMISAS!$B$16:$D$24,3,0)</f>
        <v/>
      </c>
      <c r="O13" s="15">
        <f>J13*L13*M13</f>
        <v/>
      </c>
      <c r="P13" s="15">
        <f>IF(H13="SI",K13*L13*N13,0)</f>
        <v/>
      </c>
      <c r="Q13" s="16">
        <f>O13+P13</f>
        <v/>
      </c>
      <c r="R13" s="15">
        <f>VLOOKUP(F13,PREMISAS!$B$28:$F$30,3,0)</f>
        <v/>
      </c>
      <c r="S13" s="13">
        <f>PREMISAS!C5+PREMISAS!C8</f>
        <v/>
      </c>
      <c r="T13" s="15">
        <f>R13*S13*I13</f>
        <v/>
      </c>
      <c r="U13" s="15">
        <f>VLOOKUP(F13,PREMISAS!$B$28:$F$30,4,0)</f>
        <v/>
      </c>
      <c r="V13" s="15">
        <f>U13*PREMISAS!C5*I13</f>
        <v/>
      </c>
      <c r="W13" s="15">
        <f>VLOOKUP(D13,PREMISAS!$B$34:$F$40,5,0)</f>
        <v/>
      </c>
      <c r="X13" s="15">
        <f>W13*I13</f>
        <v/>
      </c>
      <c r="Y13" s="15">
        <f>VLOOKUP(F13,PREMISAS!$B$28:$F$30,5,0)</f>
        <v/>
      </c>
      <c r="Z13" s="13">
        <f>PREMISAS!C10</f>
        <v/>
      </c>
      <c r="AA13" s="15">
        <f>Y13*Z13*I13</f>
        <v/>
      </c>
      <c r="AB13" s="15">
        <f>VLOOKUP(G13,PREMISAS!$B$44:$C$52,2,0)</f>
        <v/>
      </c>
      <c r="AC13" s="15">
        <f>PREMISAS!C56</f>
        <v/>
      </c>
      <c r="AD13" s="16">
        <f>Q13+T13+V13+X13+AA13+AB13+AC13+IF(F13="C",I13*PREMISAS!C57,0)</f>
        <v/>
      </c>
    </row>
    <row r="14">
      <c r="A14" s="9" t="n">
        <v>11</v>
      </c>
      <c r="B14" s="10" t="inlineStr">
        <is>
          <t>T-COMP-05</t>
        </is>
      </c>
      <c r="C14" s="10" t="inlineStr">
        <is>
          <t>Guillermo E. Billinghurst</t>
        </is>
      </c>
      <c r="D14" s="10" t="inlineStr">
        <is>
          <t>IE5</t>
        </is>
      </c>
      <c r="E14" s="10" t="inlineStr">
        <is>
          <t>Lima Provincia – Barranca</t>
        </is>
      </c>
      <c r="F14" s="9" t="inlineStr">
        <is>
          <t>B</t>
        </is>
      </c>
      <c r="G14" s="10" t="inlineStr">
        <is>
          <t>Computación e Informática</t>
        </is>
      </c>
      <c r="H14" s="9" t="inlineStr">
        <is>
          <t>NO</t>
        </is>
      </c>
      <c r="I14" s="9">
        <f>IF(H14="SI",2,1)</f>
        <v/>
      </c>
      <c r="J14" s="9">
        <f>PREMISAS!C11</f>
        <v/>
      </c>
      <c r="K14" s="9">
        <f>PREMISAS!C12</f>
        <v/>
      </c>
      <c r="L14" s="9">
        <f>PREMISAS!C9</f>
        <v/>
      </c>
      <c r="M14" s="11">
        <f>VLOOKUP(G14,PREMISAS!$B$16:$D$24,2,0)</f>
        <v/>
      </c>
      <c r="N14" s="11">
        <f>VLOOKUP(G14,PREMISAS!$B$16:$D$24,3,0)</f>
        <v/>
      </c>
      <c r="O14" s="11">
        <f>J14*L14*M14</f>
        <v/>
      </c>
      <c r="P14" s="11">
        <f>IF(H14="SI",K14*L14*N14,0)</f>
        <v/>
      </c>
      <c r="Q14" s="12">
        <f>O14+P14</f>
        <v/>
      </c>
      <c r="R14" s="11">
        <f>VLOOKUP(F14,PREMISAS!$B$28:$F$30,3,0)</f>
        <v/>
      </c>
      <c r="S14" s="9">
        <f>PREMISAS!C5+PREMISAS!C8</f>
        <v/>
      </c>
      <c r="T14" s="11">
        <f>R14*S14*I14</f>
        <v/>
      </c>
      <c r="U14" s="11">
        <f>VLOOKUP(F14,PREMISAS!$B$28:$F$30,4,0)</f>
        <v/>
      </c>
      <c r="V14" s="11">
        <f>U14*PREMISAS!C5*I14</f>
        <v/>
      </c>
      <c r="W14" s="11">
        <f>VLOOKUP(D14,PREMISAS!$B$34:$F$40,5,0)</f>
        <v/>
      </c>
      <c r="X14" s="11">
        <f>W14*I14</f>
        <v/>
      </c>
      <c r="Y14" s="11">
        <f>VLOOKUP(F14,PREMISAS!$B$28:$F$30,5,0)</f>
        <v/>
      </c>
      <c r="Z14" s="9">
        <f>PREMISAS!C10</f>
        <v/>
      </c>
      <c r="AA14" s="11">
        <f>Y14*Z14*I14</f>
        <v/>
      </c>
      <c r="AB14" s="11">
        <f>VLOOKUP(G14,PREMISAS!$B$44:$C$52,2,0)</f>
        <v/>
      </c>
      <c r="AC14" s="11">
        <f>PREMISAS!C56</f>
        <v/>
      </c>
      <c r="AD14" s="12">
        <f>Q14+T14+V14+X14+AA14+AB14+AC14+IF(F14="C",I14*PREMISAS!C57,0)</f>
        <v/>
      </c>
    </row>
    <row r="15">
      <c r="A15" s="13" t="n">
        <v>12</v>
      </c>
      <c r="B15" s="14" t="inlineStr">
        <is>
          <t>T-EBAN-05</t>
        </is>
      </c>
      <c r="C15" s="14" t="inlineStr">
        <is>
          <t>Guillermo E. Billinghurst</t>
        </is>
      </c>
      <c r="D15" s="14" t="inlineStr">
        <is>
          <t>IE5</t>
        </is>
      </c>
      <c r="E15" s="14" t="inlineStr">
        <is>
          <t>Lima Provincia – Barranca</t>
        </is>
      </c>
      <c r="F15" s="13" t="inlineStr">
        <is>
          <t>B</t>
        </is>
      </c>
      <c r="G15" s="14" t="inlineStr">
        <is>
          <t>Ebanistería</t>
        </is>
      </c>
      <c r="H15" s="13" t="inlineStr">
        <is>
          <t>SI</t>
        </is>
      </c>
      <c r="I15" s="13">
        <f>IF(H15="SI",2,1)</f>
        <v/>
      </c>
      <c r="J15" s="13">
        <f>PREMISAS!C11</f>
        <v/>
      </c>
      <c r="K15" s="13">
        <f>PREMISAS!C12</f>
        <v/>
      </c>
      <c r="L15" s="13">
        <f>PREMISAS!C9</f>
        <v/>
      </c>
      <c r="M15" s="15">
        <f>VLOOKUP(G15,PREMISAS!$B$16:$D$24,2,0)</f>
        <v/>
      </c>
      <c r="N15" s="15">
        <f>VLOOKUP(G15,PREMISAS!$B$16:$D$24,3,0)</f>
        <v/>
      </c>
      <c r="O15" s="15">
        <f>J15*L15*M15</f>
        <v/>
      </c>
      <c r="P15" s="15">
        <f>IF(H15="SI",K15*L15*N15,0)</f>
        <v/>
      </c>
      <c r="Q15" s="16">
        <f>O15+P15</f>
        <v/>
      </c>
      <c r="R15" s="15">
        <f>VLOOKUP(F15,PREMISAS!$B$28:$F$30,3,0)</f>
        <v/>
      </c>
      <c r="S15" s="13">
        <f>PREMISAS!C5+PREMISAS!C8</f>
        <v/>
      </c>
      <c r="T15" s="15">
        <f>R15*S15*I15</f>
        <v/>
      </c>
      <c r="U15" s="15">
        <f>VLOOKUP(F15,PREMISAS!$B$28:$F$30,4,0)</f>
        <v/>
      </c>
      <c r="V15" s="15">
        <f>U15*PREMISAS!C5*I15</f>
        <v/>
      </c>
      <c r="W15" s="15">
        <f>VLOOKUP(D15,PREMISAS!$B$34:$F$40,5,0)</f>
        <v/>
      </c>
      <c r="X15" s="15">
        <f>W15*I15</f>
        <v/>
      </c>
      <c r="Y15" s="15">
        <f>VLOOKUP(F15,PREMISAS!$B$28:$F$30,5,0)</f>
        <v/>
      </c>
      <c r="Z15" s="13">
        <f>PREMISAS!C10</f>
        <v/>
      </c>
      <c r="AA15" s="15">
        <f>Y15*Z15*I15</f>
        <v/>
      </c>
      <c r="AB15" s="15">
        <f>VLOOKUP(G15,PREMISAS!$B$44:$C$52,2,0)</f>
        <v/>
      </c>
      <c r="AC15" s="15">
        <f>PREMISAS!C56</f>
        <v/>
      </c>
      <c r="AD15" s="16">
        <f>Q15+T15+V15+X15+AA15+AB15+AC15+IF(F15="C",I15*PREMISAS!C57,0)</f>
        <v/>
      </c>
    </row>
    <row r="16">
      <c r="A16" s="9" t="n">
        <v>13</v>
      </c>
      <c r="B16" s="10" t="inlineStr">
        <is>
          <t>T-ELEC-05</t>
        </is>
      </c>
      <c r="C16" s="10" t="inlineStr">
        <is>
          <t>Guillermo E. Billinghurst</t>
        </is>
      </c>
      <c r="D16" s="10" t="inlineStr">
        <is>
          <t>IE5</t>
        </is>
      </c>
      <c r="E16" s="10" t="inlineStr">
        <is>
          <t>Lima Provincia – Barranca</t>
        </is>
      </c>
      <c r="F16" s="9" t="inlineStr">
        <is>
          <t>B</t>
        </is>
      </c>
      <c r="G16" s="10" t="inlineStr">
        <is>
          <t>Electricidad</t>
        </is>
      </c>
      <c r="H16" s="9" t="inlineStr">
        <is>
          <t>SI</t>
        </is>
      </c>
      <c r="I16" s="9">
        <f>IF(H16="SI",2,1)</f>
        <v/>
      </c>
      <c r="J16" s="9">
        <f>PREMISAS!C11</f>
        <v/>
      </c>
      <c r="K16" s="9">
        <f>PREMISAS!C12</f>
        <v/>
      </c>
      <c r="L16" s="9">
        <f>PREMISAS!C9</f>
        <v/>
      </c>
      <c r="M16" s="11">
        <f>VLOOKUP(G16,PREMISAS!$B$16:$D$24,2,0)</f>
        <v/>
      </c>
      <c r="N16" s="11">
        <f>VLOOKUP(G16,PREMISAS!$B$16:$D$24,3,0)</f>
        <v/>
      </c>
      <c r="O16" s="11">
        <f>J16*L16*M16</f>
        <v/>
      </c>
      <c r="P16" s="11">
        <f>IF(H16="SI",K16*L16*N16,0)</f>
        <v/>
      </c>
      <c r="Q16" s="12">
        <f>O16+P16</f>
        <v/>
      </c>
      <c r="R16" s="11">
        <f>VLOOKUP(F16,PREMISAS!$B$28:$F$30,3,0)</f>
        <v/>
      </c>
      <c r="S16" s="9">
        <f>PREMISAS!C5+PREMISAS!C8</f>
        <v/>
      </c>
      <c r="T16" s="11">
        <f>R16*S16*I16</f>
        <v/>
      </c>
      <c r="U16" s="11">
        <f>VLOOKUP(F16,PREMISAS!$B$28:$F$30,4,0)</f>
        <v/>
      </c>
      <c r="V16" s="11">
        <f>U16*PREMISAS!C5*I16</f>
        <v/>
      </c>
      <c r="W16" s="11">
        <f>VLOOKUP(D16,PREMISAS!$B$34:$F$40,5,0)</f>
        <v/>
      </c>
      <c r="X16" s="11">
        <f>W16*I16</f>
        <v/>
      </c>
      <c r="Y16" s="11">
        <f>VLOOKUP(F16,PREMISAS!$B$28:$F$30,5,0)</f>
        <v/>
      </c>
      <c r="Z16" s="9">
        <f>PREMISAS!C10</f>
        <v/>
      </c>
      <c r="AA16" s="11">
        <f>Y16*Z16*I16</f>
        <v/>
      </c>
      <c r="AB16" s="11">
        <f>VLOOKUP(G16,PREMISAS!$B$44:$C$52,2,0)</f>
        <v/>
      </c>
      <c r="AC16" s="11">
        <f>PREMISAS!C56</f>
        <v/>
      </c>
      <c r="AD16" s="12">
        <f>Q16+T16+V16+X16+AA16+AB16+AC16+IF(F16="C",I16*PREMISAS!C57,0)</f>
        <v/>
      </c>
    </row>
    <row r="17">
      <c r="A17" s="13" t="n">
        <v>14</v>
      </c>
      <c r="B17" s="14" t="inlineStr">
        <is>
          <t>T-INDUS.A-05</t>
        </is>
      </c>
      <c r="C17" s="14" t="inlineStr">
        <is>
          <t>Guillermo E. Billinghurst</t>
        </is>
      </c>
      <c r="D17" s="14" t="inlineStr">
        <is>
          <t>IE5</t>
        </is>
      </c>
      <c r="E17" s="14" t="inlineStr">
        <is>
          <t>Lima Provincia – Barranca</t>
        </is>
      </c>
      <c r="F17" s="13" t="inlineStr">
        <is>
          <t>B</t>
        </is>
      </c>
      <c r="G17" s="14" t="inlineStr">
        <is>
          <t>Industria Alimentaria</t>
        </is>
      </c>
      <c r="H17" s="13" t="inlineStr">
        <is>
          <t>NO</t>
        </is>
      </c>
      <c r="I17" s="13">
        <f>IF(H17="SI",2,1)</f>
        <v/>
      </c>
      <c r="J17" s="13">
        <f>PREMISAS!C11</f>
        <v/>
      </c>
      <c r="K17" s="13">
        <f>PREMISAS!C12</f>
        <v/>
      </c>
      <c r="L17" s="13">
        <f>PREMISAS!C9</f>
        <v/>
      </c>
      <c r="M17" s="15">
        <f>VLOOKUP(G17,PREMISAS!$B$16:$D$24,2,0)</f>
        <v/>
      </c>
      <c r="N17" s="15">
        <f>VLOOKUP(G17,PREMISAS!$B$16:$D$24,3,0)</f>
        <v/>
      </c>
      <c r="O17" s="15">
        <f>J17*L17*M17</f>
        <v/>
      </c>
      <c r="P17" s="15">
        <f>IF(H17="SI",K17*L17*N17,0)</f>
        <v/>
      </c>
      <c r="Q17" s="16">
        <f>O17+P17</f>
        <v/>
      </c>
      <c r="R17" s="15">
        <f>VLOOKUP(F17,PREMISAS!$B$28:$F$30,3,0)</f>
        <v/>
      </c>
      <c r="S17" s="13">
        <f>PREMISAS!C5+PREMISAS!C8</f>
        <v/>
      </c>
      <c r="T17" s="15">
        <f>R17*S17*I17</f>
        <v/>
      </c>
      <c r="U17" s="15">
        <f>VLOOKUP(F17,PREMISAS!$B$28:$F$30,4,0)</f>
        <v/>
      </c>
      <c r="V17" s="15">
        <f>U17*PREMISAS!C5*I17</f>
        <v/>
      </c>
      <c r="W17" s="15">
        <f>VLOOKUP(D17,PREMISAS!$B$34:$F$40,5,0)</f>
        <v/>
      </c>
      <c r="X17" s="15">
        <f>W17*I17</f>
        <v/>
      </c>
      <c r="Y17" s="15">
        <f>VLOOKUP(F17,PREMISAS!$B$28:$F$30,5,0)</f>
        <v/>
      </c>
      <c r="Z17" s="13">
        <f>PREMISAS!C10</f>
        <v/>
      </c>
      <c r="AA17" s="15">
        <f>Y17*Z17*I17</f>
        <v/>
      </c>
      <c r="AB17" s="15">
        <f>VLOOKUP(G17,PREMISAS!$B$44:$C$52,2,0)</f>
        <v/>
      </c>
      <c r="AC17" s="15">
        <f>PREMISAS!C56</f>
        <v/>
      </c>
      <c r="AD17" s="16">
        <f>Q17+T17+V17+X17+AA17+AB17+AC17+IF(F17="C",I17*PREMISAS!C57,0)</f>
        <v/>
      </c>
    </row>
    <row r="18">
      <c r="A18" s="9" t="n">
        <v>15</v>
      </c>
      <c r="B18" s="10" t="inlineStr">
        <is>
          <t>T-MECA.A-05</t>
        </is>
      </c>
      <c r="C18" s="10" t="inlineStr">
        <is>
          <t>Guillermo E. Billinghurst</t>
        </is>
      </c>
      <c r="D18" s="10" t="inlineStr">
        <is>
          <t>IE5</t>
        </is>
      </c>
      <c r="E18" s="10" t="inlineStr">
        <is>
          <t>Lima Provincia – Barranca</t>
        </is>
      </c>
      <c r="F18" s="9" t="inlineStr">
        <is>
          <t>B</t>
        </is>
      </c>
      <c r="G18" s="10" t="inlineStr">
        <is>
          <t>Mecánica Automotriz</t>
        </is>
      </c>
      <c r="H18" s="9" t="inlineStr">
        <is>
          <t>SI</t>
        </is>
      </c>
      <c r="I18" s="9">
        <f>IF(H18="SI",2,1)</f>
        <v/>
      </c>
      <c r="J18" s="9">
        <f>PREMISAS!C11</f>
        <v/>
      </c>
      <c r="K18" s="9">
        <f>PREMISAS!C12</f>
        <v/>
      </c>
      <c r="L18" s="9">
        <f>PREMISAS!C9</f>
        <v/>
      </c>
      <c r="M18" s="11">
        <f>VLOOKUP(G18,PREMISAS!$B$16:$D$24,2,0)</f>
        <v/>
      </c>
      <c r="N18" s="11">
        <f>VLOOKUP(G18,PREMISAS!$B$16:$D$24,3,0)</f>
        <v/>
      </c>
      <c r="O18" s="11">
        <f>J18*L18*M18</f>
        <v/>
      </c>
      <c r="P18" s="11">
        <f>IF(H18="SI",K18*L18*N18,0)</f>
        <v/>
      </c>
      <c r="Q18" s="12">
        <f>O18+P18</f>
        <v/>
      </c>
      <c r="R18" s="11">
        <f>VLOOKUP(F18,PREMISAS!$B$28:$F$30,3,0)</f>
        <v/>
      </c>
      <c r="S18" s="9">
        <f>PREMISAS!C5+PREMISAS!C8</f>
        <v/>
      </c>
      <c r="T18" s="11">
        <f>R18*S18*I18</f>
        <v/>
      </c>
      <c r="U18" s="11">
        <f>VLOOKUP(F18,PREMISAS!$B$28:$F$30,4,0)</f>
        <v/>
      </c>
      <c r="V18" s="11">
        <f>U18*PREMISAS!C5*I18</f>
        <v/>
      </c>
      <c r="W18" s="11">
        <f>VLOOKUP(D18,PREMISAS!$B$34:$F$40,5,0)</f>
        <v/>
      </c>
      <c r="X18" s="11">
        <f>W18*I18</f>
        <v/>
      </c>
      <c r="Y18" s="11">
        <f>VLOOKUP(F18,PREMISAS!$B$28:$F$30,5,0)</f>
        <v/>
      </c>
      <c r="Z18" s="9">
        <f>PREMISAS!C10</f>
        <v/>
      </c>
      <c r="AA18" s="11">
        <f>Y18*Z18*I18</f>
        <v/>
      </c>
      <c r="AB18" s="11">
        <f>VLOOKUP(G18,PREMISAS!$B$44:$C$52,2,0)</f>
        <v/>
      </c>
      <c r="AC18" s="11">
        <f>PREMISAS!C56</f>
        <v/>
      </c>
      <c r="AD18" s="12">
        <f>Q18+T18+V18+X18+AA18+AB18+AC18+IF(F18="C",I18*PREMISAS!C57,0)</f>
        <v/>
      </c>
    </row>
    <row r="19">
      <c r="A19" s="13" t="n">
        <v>16</v>
      </c>
      <c r="B19" s="14" t="inlineStr">
        <is>
          <t>T-MECA.A-06</t>
        </is>
      </c>
      <c r="C19" s="14" t="inlineStr">
        <is>
          <t>José Granda</t>
        </is>
      </c>
      <c r="D19" s="14" t="inlineStr">
        <is>
          <t>IE6</t>
        </is>
      </c>
      <c r="E19" s="14" t="inlineStr">
        <is>
          <t>Lima Metropolitana – SMP</t>
        </is>
      </c>
      <c r="F19" s="13" t="inlineStr">
        <is>
          <t>A</t>
        </is>
      </c>
      <c r="G19" s="14" t="inlineStr">
        <is>
          <t>Mecánica Automotriz</t>
        </is>
      </c>
      <c r="H19" s="13" t="inlineStr">
        <is>
          <t>SI</t>
        </is>
      </c>
      <c r="I19" s="13">
        <f>IF(H19="SI",2,1)</f>
        <v/>
      </c>
      <c r="J19" s="13">
        <f>PREMISAS!C11</f>
        <v/>
      </c>
      <c r="K19" s="13">
        <f>PREMISAS!C12</f>
        <v/>
      </c>
      <c r="L19" s="13">
        <f>PREMISAS!C9</f>
        <v/>
      </c>
      <c r="M19" s="15">
        <f>VLOOKUP(G19,PREMISAS!$B$16:$D$24,2,0)</f>
        <v/>
      </c>
      <c r="N19" s="15">
        <f>VLOOKUP(G19,PREMISAS!$B$16:$D$24,3,0)</f>
        <v/>
      </c>
      <c r="O19" s="15">
        <f>J19*L19*M19</f>
        <v/>
      </c>
      <c r="P19" s="15">
        <f>IF(H19="SI",K19*L19*N19,0)</f>
        <v/>
      </c>
      <c r="Q19" s="16">
        <f>O19+P19</f>
        <v/>
      </c>
      <c r="R19" s="15">
        <f>VLOOKUP(F19,PREMISAS!$B$28:$F$30,3,0)</f>
        <v/>
      </c>
      <c r="S19" s="13">
        <f>PREMISAS!C5+PREMISAS!C8</f>
        <v/>
      </c>
      <c r="T19" s="15">
        <f>R19*S19*I19</f>
        <v/>
      </c>
      <c r="U19" s="15">
        <f>VLOOKUP(F19,PREMISAS!$B$28:$F$30,4,0)</f>
        <v/>
      </c>
      <c r="V19" s="15">
        <f>U19*PREMISAS!C5*I19</f>
        <v/>
      </c>
      <c r="W19" s="15">
        <f>VLOOKUP(D19,PREMISAS!$B$34:$F$40,5,0)</f>
        <v/>
      </c>
      <c r="X19" s="15">
        <f>W19*I19</f>
        <v/>
      </c>
      <c r="Y19" s="15">
        <f>VLOOKUP(F19,PREMISAS!$B$28:$F$30,5,0)</f>
        <v/>
      </c>
      <c r="Z19" s="13">
        <f>PREMISAS!C10</f>
        <v/>
      </c>
      <c r="AA19" s="15">
        <f>Y19*Z19*I19</f>
        <v/>
      </c>
      <c r="AB19" s="15">
        <f>VLOOKUP(G19,PREMISAS!$B$44:$C$52,2,0)</f>
        <v/>
      </c>
      <c r="AC19" s="15">
        <f>PREMISAS!C56</f>
        <v/>
      </c>
      <c r="AD19" s="16">
        <f>Q19+T19+V19+X19+AA19+AB19+AC19+IF(F19="C",I19*PREMISAS!C57,0)</f>
        <v/>
      </c>
    </row>
    <row r="20">
      <c r="A20" s="9" t="n">
        <v>17</v>
      </c>
      <c r="B20" s="10" t="inlineStr">
        <is>
          <t>T-COMP-06</t>
        </is>
      </c>
      <c r="C20" s="10" t="inlineStr">
        <is>
          <t>José Granda</t>
        </is>
      </c>
      <c r="D20" s="10" t="inlineStr">
        <is>
          <t>IE6</t>
        </is>
      </c>
      <c r="E20" s="10" t="inlineStr">
        <is>
          <t>Lima Metropolitana – SMP</t>
        </is>
      </c>
      <c r="F20" s="9" t="inlineStr">
        <is>
          <t>A</t>
        </is>
      </c>
      <c r="G20" s="10" t="inlineStr">
        <is>
          <t>Computación e Informática</t>
        </is>
      </c>
      <c r="H20" s="9" t="inlineStr">
        <is>
          <t>NO</t>
        </is>
      </c>
      <c r="I20" s="9">
        <f>IF(H20="SI",2,1)</f>
        <v/>
      </c>
      <c r="J20" s="9">
        <f>PREMISAS!C11</f>
        <v/>
      </c>
      <c r="K20" s="9">
        <f>PREMISAS!C12</f>
        <v/>
      </c>
      <c r="L20" s="9">
        <f>PREMISAS!C9</f>
        <v/>
      </c>
      <c r="M20" s="11">
        <f>VLOOKUP(G20,PREMISAS!$B$16:$D$24,2,0)</f>
        <v/>
      </c>
      <c r="N20" s="11">
        <f>VLOOKUP(G20,PREMISAS!$B$16:$D$24,3,0)</f>
        <v/>
      </c>
      <c r="O20" s="11">
        <f>J20*L20*M20</f>
        <v/>
      </c>
      <c r="P20" s="11">
        <f>IF(H20="SI",K20*L20*N20,0)</f>
        <v/>
      </c>
      <c r="Q20" s="12">
        <f>O20+P20</f>
        <v/>
      </c>
      <c r="R20" s="11">
        <f>VLOOKUP(F20,PREMISAS!$B$28:$F$30,3,0)</f>
        <v/>
      </c>
      <c r="S20" s="9">
        <f>PREMISAS!C5+PREMISAS!C8</f>
        <v/>
      </c>
      <c r="T20" s="11">
        <f>R20*S20*I20</f>
        <v/>
      </c>
      <c r="U20" s="11">
        <f>VLOOKUP(F20,PREMISAS!$B$28:$F$30,4,0)</f>
        <v/>
      </c>
      <c r="V20" s="11">
        <f>U20*PREMISAS!C5*I20</f>
        <v/>
      </c>
      <c r="W20" s="11">
        <f>VLOOKUP(D20,PREMISAS!$B$34:$F$40,5,0)</f>
        <v/>
      </c>
      <c r="X20" s="11">
        <f>W20*I20</f>
        <v/>
      </c>
      <c r="Y20" s="11">
        <f>VLOOKUP(F20,PREMISAS!$B$28:$F$30,5,0)</f>
        <v/>
      </c>
      <c r="Z20" s="9">
        <f>PREMISAS!C10</f>
        <v/>
      </c>
      <c r="AA20" s="11">
        <f>Y20*Z20*I20</f>
        <v/>
      </c>
      <c r="AB20" s="11">
        <f>VLOOKUP(G20,PREMISAS!$B$44:$C$52,2,0)</f>
        <v/>
      </c>
      <c r="AC20" s="11">
        <f>PREMISAS!C56</f>
        <v/>
      </c>
      <c r="AD20" s="12">
        <f>Q20+T20+V20+X20+AA20+AB20+AC20+IF(F20="C",I20*PREMISAS!C57,0)</f>
        <v/>
      </c>
    </row>
    <row r="21">
      <c r="A21" s="13" t="n">
        <v>18</v>
      </c>
      <c r="B21" s="14" t="inlineStr">
        <is>
          <t>T-INDUS.A-06</t>
        </is>
      </c>
      <c r="C21" s="14" t="inlineStr">
        <is>
          <t>José Granda</t>
        </is>
      </c>
      <c r="D21" s="14" t="inlineStr">
        <is>
          <t>IE6</t>
        </is>
      </c>
      <c r="E21" s="14" t="inlineStr">
        <is>
          <t>Lima Metropolitana – SMP</t>
        </is>
      </c>
      <c r="F21" s="13" t="inlineStr">
        <is>
          <t>A</t>
        </is>
      </c>
      <c r="G21" s="14" t="inlineStr">
        <is>
          <t>Industria Alimentaria</t>
        </is>
      </c>
      <c r="H21" s="13" t="inlineStr">
        <is>
          <t>NO</t>
        </is>
      </c>
      <c r="I21" s="13">
        <f>IF(H21="SI",2,1)</f>
        <v/>
      </c>
      <c r="J21" s="13">
        <f>PREMISAS!C11</f>
        <v/>
      </c>
      <c r="K21" s="13">
        <f>PREMISAS!C12</f>
        <v/>
      </c>
      <c r="L21" s="13">
        <f>PREMISAS!C9</f>
        <v/>
      </c>
      <c r="M21" s="15">
        <f>VLOOKUP(G21,PREMISAS!$B$16:$D$24,2,0)</f>
        <v/>
      </c>
      <c r="N21" s="15">
        <f>VLOOKUP(G21,PREMISAS!$B$16:$D$24,3,0)</f>
        <v/>
      </c>
      <c r="O21" s="15">
        <f>J21*L21*M21</f>
        <v/>
      </c>
      <c r="P21" s="15">
        <f>IF(H21="SI",K21*L21*N21,0)</f>
        <v/>
      </c>
      <c r="Q21" s="16">
        <f>O21+P21</f>
        <v/>
      </c>
      <c r="R21" s="15">
        <f>VLOOKUP(F21,PREMISAS!$B$28:$F$30,3,0)</f>
        <v/>
      </c>
      <c r="S21" s="13">
        <f>PREMISAS!C5+PREMISAS!C8</f>
        <v/>
      </c>
      <c r="T21" s="15">
        <f>R21*S21*I21</f>
        <v/>
      </c>
      <c r="U21" s="15">
        <f>VLOOKUP(F21,PREMISAS!$B$28:$F$30,4,0)</f>
        <v/>
      </c>
      <c r="V21" s="15">
        <f>U21*PREMISAS!C5*I21</f>
        <v/>
      </c>
      <c r="W21" s="15">
        <f>VLOOKUP(D21,PREMISAS!$B$34:$F$40,5,0)</f>
        <v/>
      </c>
      <c r="X21" s="15">
        <f>W21*I21</f>
        <v/>
      </c>
      <c r="Y21" s="15">
        <f>VLOOKUP(F21,PREMISAS!$B$28:$F$30,5,0)</f>
        <v/>
      </c>
      <c r="Z21" s="13">
        <f>PREMISAS!C10</f>
        <v/>
      </c>
      <c r="AA21" s="15">
        <f>Y21*Z21*I21</f>
        <v/>
      </c>
      <c r="AB21" s="15">
        <f>VLOOKUP(G21,PREMISAS!$B$44:$C$52,2,0)</f>
        <v/>
      </c>
      <c r="AC21" s="15">
        <f>PREMISAS!C56</f>
        <v/>
      </c>
      <c r="AD21" s="16">
        <f>Q21+T21+V21+X21+AA21+AB21+AC21+IF(F21="C",I21*PREMISAS!C57,0)</f>
        <v/>
      </c>
    </row>
    <row r="22">
      <c r="A22" s="9" t="n">
        <v>19</v>
      </c>
      <c r="B22" s="10" t="inlineStr">
        <is>
          <t>T-INDUS.V-07</t>
        </is>
      </c>
      <c r="C22" s="10" t="inlineStr">
        <is>
          <t>Manuel A. Mesones Muro</t>
        </is>
      </c>
      <c r="D22" s="10" t="inlineStr">
        <is>
          <t>IE7</t>
        </is>
      </c>
      <c r="E22" s="10" t="inlineStr">
        <is>
          <t>San Martín – El Dorado</t>
        </is>
      </c>
      <c r="F22" s="9" t="inlineStr">
        <is>
          <t>C</t>
        </is>
      </c>
      <c r="G22" s="10" t="inlineStr">
        <is>
          <t>Industria del Vestido</t>
        </is>
      </c>
      <c r="H22" s="9" t="inlineStr">
        <is>
          <t>NO</t>
        </is>
      </c>
      <c r="I22" s="9">
        <f>IF(H22="SI",2,1)</f>
        <v/>
      </c>
      <c r="J22" s="9">
        <f>PREMISAS!C11</f>
        <v/>
      </c>
      <c r="K22" s="9">
        <f>PREMISAS!C12</f>
        <v/>
      </c>
      <c r="L22" s="9">
        <f>PREMISAS!C9</f>
        <v/>
      </c>
      <c r="M22" s="11">
        <f>VLOOKUP(G22,PREMISAS!$B$16:$D$24,2,0)</f>
        <v/>
      </c>
      <c r="N22" s="11">
        <f>VLOOKUP(G22,PREMISAS!$B$16:$D$24,3,0)</f>
        <v/>
      </c>
      <c r="O22" s="11">
        <f>J22*L22*M22</f>
        <v/>
      </c>
      <c r="P22" s="11">
        <f>IF(H22="SI",K22*L22*N22,0)</f>
        <v/>
      </c>
      <c r="Q22" s="12">
        <f>O22+P22</f>
        <v/>
      </c>
      <c r="R22" s="11">
        <f>VLOOKUP(F22,PREMISAS!$B$28:$F$30,3,0)</f>
        <v/>
      </c>
      <c r="S22" s="9">
        <f>PREMISAS!C5+PREMISAS!C8</f>
        <v/>
      </c>
      <c r="T22" s="11">
        <f>R22*S22*I22</f>
        <v/>
      </c>
      <c r="U22" s="11">
        <f>VLOOKUP(F22,PREMISAS!$B$28:$F$30,4,0)</f>
        <v/>
      </c>
      <c r="V22" s="11">
        <f>U22*PREMISAS!C5*I22</f>
        <v/>
      </c>
      <c r="W22" s="11">
        <f>VLOOKUP(D22,PREMISAS!$B$34:$F$40,5,0)</f>
        <v/>
      </c>
      <c r="X22" s="11">
        <f>W22*I22</f>
        <v/>
      </c>
      <c r="Y22" s="11">
        <f>VLOOKUP(F22,PREMISAS!$B$28:$F$30,5,0)</f>
        <v/>
      </c>
      <c r="Z22" s="9">
        <f>PREMISAS!C10</f>
        <v/>
      </c>
      <c r="AA22" s="11">
        <f>Y22*Z22*I22</f>
        <v/>
      </c>
      <c r="AB22" s="11">
        <f>VLOOKUP(G22,PREMISAS!$B$44:$C$52,2,0)</f>
        <v/>
      </c>
      <c r="AC22" s="11">
        <f>PREMISAS!C56</f>
        <v/>
      </c>
      <c r="AD22" s="12">
        <f>Q22+T22+V22+X22+AA22+AB22+AC22+IF(F22="C",I22*PREMISAS!C57,0)</f>
        <v/>
      </c>
    </row>
    <row r="23">
      <c r="A23" s="13" t="n">
        <v>20</v>
      </c>
      <c r="B23" s="14" t="inlineStr">
        <is>
          <t>T-CONST.M-07</t>
        </is>
      </c>
      <c r="C23" s="14" t="inlineStr">
        <is>
          <t>Manuel A. Mesones Muro</t>
        </is>
      </c>
      <c r="D23" s="14" t="inlineStr">
        <is>
          <t>IE7</t>
        </is>
      </c>
      <c r="E23" s="14" t="inlineStr">
        <is>
          <t>San Martín – El Dorado</t>
        </is>
      </c>
      <c r="F23" s="13" t="inlineStr">
        <is>
          <t>C</t>
        </is>
      </c>
      <c r="G23" s="14" t="inlineStr">
        <is>
          <t>Construcciones Metálicas</t>
        </is>
      </c>
      <c r="H23" s="13" t="inlineStr">
        <is>
          <t>SI</t>
        </is>
      </c>
      <c r="I23" s="13">
        <f>IF(H23="SI",2,1)</f>
        <v/>
      </c>
      <c r="J23" s="13">
        <f>PREMISAS!C11</f>
        <v/>
      </c>
      <c r="K23" s="13">
        <f>PREMISAS!C12</f>
        <v/>
      </c>
      <c r="L23" s="13">
        <f>PREMISAS!C9</f>
        <v/>
      </c>
      <c r="M23" s="15">
        <f>VLOOKUP(G23,PREMISAS!$B$16:$D$24,2,0)</f>
        <v/>
      </c>
      <c r="N23" s="15">
        <f>VLOOKUP(G23,PREMISAS!$B$16:$D$24,3,0)</f>
        <v/>
      </c>
      <c r="O23" s="15">
        <f>J23*L23*M23</f>
        <v/>
      </c>
      <c r="P23" s="15">
        <f>IF(H23="SI",K23*L23*N23,0)</f>
        <v/>
      </c>
      <c r="Q23" s="16">
        <f>O23+P23</f>
        <v/>
      </c>
      <c r="R23" s="15">
        <f>VLOOKUP(F23,PREMISAS!$B$28:$F$30,3,0)</f>
        <v/>
      </c>
      <c r="S23" s="13">
        <f>PREMISAS!C5+PREMISAS!C8</f>
        <v/>
      </c>
      <c r="T23" s="15">
        <f>R23*S23*I23</f>
        <v/>
      </c>
      <c r="U23" s="15">
        <f>VLOOKUP(F23,PREMISAS!$B$28:$F$30,4,0)</f>
        <v/>
      </c>
      <c r="V23" s="15">
        <f>U23*PREMISAS!C5*I23</f>
        <v/>
      </c>
      <c r="W23" s="15">
        <f>VLOOKUP(D23,PREMISAS!$B$34:$F$40,5,0)</f>
        <v/>
      </c>
      <c r="X23" s="15">
        <f>W23*I23</f>
        <v/>
      </c>
      <c r="Y23" s="15">
        <f>VLOOKUP(F23,PREMISAS!$B$28:$F$30,5,0)</f>
        <v/>
      </c>
      <c r="Z23" s="13">
        <f>PREMISAS!C10</f>
        <v/>
      </c>
      <c r="AA23" s="15">
        <f>Y23*Z23*I23</f>
        <v/>
      </c>
      <c r="AB23" s="15">
        <f>VLOOKUP(G23,PREMISAS!$B$44:$C$52,2,0)</f>
        <v/>
      </c>
      <c r="AC23" s="15">
        <f>PREMISAS!C56</f>
        <v/>
      </c>
      <c r="AD23" s="16">
        <f>Q23+T23+V23+X23+AA23+AB23+AC23+IF(F23="C",I23*PREMISAS!C57,0)</f>
        <v/>
      </c>
    </row>
    <row r="24">
      <c r="A24" s="9" t="n">
        <v>21</v>
      </c>
      <c r="B24" s="10" t="inlineStr">
        <is>
          <t>T-EBAN-07</t>
        </is>
      </c>
      <c r="C24" s="10" t="inlineStr">
        <is>
          <t>Manuel A. Mesones Muro</t>
        </is>
      </c>
      <c r="D24" s="10" t="inlineStr">
        <is>
          <t>IE7</t>
        </is>
      </c>
      <c r="E24" s="10" t="inlineStr">
        <is>
          <t>San Martín – El Dorado</t>
        </is>
      </c>
      <c r="F24" s="9" t="inlineStr">
        <is>
          <t>C</t>
        </is>
      </c>
      <c r="G24" s="10" t="inlineStr">
        <is>
          <t>Ebanistería</t>
        </is>
      </c>
      <c r="H24" s="9" t="inlineStr">
        <is>
          <t>SI</t>
        </is>
      </c>
      <c r="I24" s="9">
        <f>IF(H24="SI",2,1)</f>
        <v/>
      </c>
      <c r="J24" s="9">
        <f>PREMISAS!C11</f>
        <v/>
      </c>
      <c r="K24" s="9">
        <f>PREMISAS!C12</f>
        <v/>
      </c>
      <c r="L24" s="9">
        <f>PREMISAS!C9</f>
        <v/>
      </c>
      <c r="M24" s="11">
        <f>VLOOKUP(G24,PREMISAS!$B$16:$D$24,2,0)</f>
        <v/>
      </c>
      <c r="N24" s="11">
        <f>VLOOKUP(G24,PREMISAS!$B$16:$D$24,3,0)</f>
        <v/>
      </c>
      <c r="O24" s="11">
        <f>J24*L24*M24</f>
        <v/>
      </c>
      <c r="P24" s="11">
        <f>IF(H24="SI",K24*L24*N24,0)</f>
        <v/>
      </c>
      <c r="Q24" s="12">
        <f>O24+P24</f>
        <v/>
      </c>
      <c r="R24" s="11">
        <f>VLOOKUP(F24,PREMISAS!$B$28:$F$30,3,0)</f>
        <v/>
      </c>
      <c r="S24" s="9">
        <f>PREMISAS!C5+PREMISAS!C8</f>
        <v/>
      </c>
      <c r="T24" s="11">
        <f>R24*S24*I24</f>
        <v/>
      </c>
      <c r="U24" s="11">
        <f>VLOOKUP(F24,PREMISAS!$B$28:$F$30,4,0)</f>
        <v/>
      </c>
      <c r="V24" s="11">
        <f>U24*PREMISAS!C5*I24</f>
        <v/>
      </c>
      <c r="W24" s="11">
        <f>VLOOKUP(D24,PREMISAS!$B$34:$F$40,5,0)</f>
        <v/>
      </c>
      <c r="X24" s="11">
        <f>W24*I24</f>
        <v/>
      </c>
      <c r="Y24" s="11">
        <f>VLOOKUP(F24,PREMISAS!$B$28:$F$30,5,0)</f>
        <v/>
      </c>
      <c r="Z24" s="9">
        <f>PREMISAS!C10</f>
        <v/>
      </c>
      <c r="AA24" s="11">
        <f>Y24*Z24*I24</f>
        <v/>
      </c>
      <c r="AB24" s="11">
        <f>VLOOKUP(G24,PREMISAS!$B$44:$C$52,2,0)</f>
        <v/>
      </c>
      <c r="AC24" s="11">
        <f>PREMISAS!C56</f>
        <v/>
      </c>
      <c r="AD24" s="12">
        <f>Q24+T24+V24+X24+AA24+AB24+AC24+IF(F24="C",I24*PREMISAS!C57,0)</f>
        <v/>
      </c>
    </row>
    <row r="25" ht="20" customHeight="1">
      <c r="A25" s="17" t="inlineStr">
        <is>
          <t>TOTAL</t>
        </is>
      </c>
      <c r="B25" s="18" t="n"/>
      <c r="C25" s="18" t="n"/>
      <c r="D25" s="18" t="n"/>
      <c r="E25" s="18" t="n"/>
      <c r="F25" s="18" t="n"/>
      <c r="G25" s="18" t="n"/>
      <c r="H25" s="18" t="n"/>
      <c r="I25" s="19">
        <f>SUM(I4:I24)</f>
        <v/>
      </c>
      <c r="J25" s="19">
        <f>SUM(J4:J24)</f>
        <v/>
      </c>
      <c r="K25" s="19">
        <f>SUM(K4:K24)</f>
        <v/>
      </c>
      <c r="L25" s="19">
        <f>SUM(L4:L24)</f>
        <v/>
      </c>
      <c r="M25" s="19">
        <f>SUM(M4:M24)</f>
        <v/>
      </c>
      <c r="N25" s="19">
        <f>SUM(N4:N24)</f>
        <v/>
      </c>
      <c r="O25" s="19">
        <f>SUM(O4:O24)</f>
        <v/>
      </c>
      <c r="P25" s="19">
        <f>SUM(P4:P24)</f>
        <v/>
      </c>
      <c r="Q25" s="19">
        <f>SUM(Q4:Q24)</f>
        <v/>
      </c>
      <c r="R25" s="19">
        <f>SUM(R4:R24)</f>
        <v/>
      </c>
      <c r="S25" s="19">
        <f>SUM(S4:S24)</f>
        <v/>
      </c>
      <c r="T25" s="19">
        <f>SUM(T4:T24)</f>
        <v/>
      </c>
      <c r="U25" s="19">
        <f>SUM(U4:U24)</f>
        <v/>
      </c>
      <c r="V25" s="19">
        <f>SUM(V4:V24)</f>
        <v/>
      </c>
      <c r="W25" s="19">
        <f>SUM(W4:W24)</f>
        <v/>
      </c>
      <c r="X25" s="19">
        <f>SUM(X4:X24)</f>
        <v/>
      </c>
      <c r="Y25" s="19">
        <f>SUM(Y4:Y24)</f>
        <v/>
      </c>
      <c r="Z25" s="19">
        <f>SUM(Z4:Z24)</f>
        <v/>
      </c>
      <c r="AA25" s="19">
        <f>SUM(AA4:AA24)</f>
        <v/>
      </c>
      <c r="AB25" s="19">
        <f>SUM(AB4:AB24)</f>
        <v/>
      </c>
      <c r="AC25" s="19">
        <f>SUM(AC4:AC24)</f>
        <v/>
      </c>
      <c r="AD25" s="19">
        <f>SUM(AD4:AD24)</f>
        <v/>
      </c>
    </row>
  </sheetData>
  <mergeCells count="10">
    <mergeCell ref="Y2:AA2"/>
    <mergeCell ref="W2:X2"/>
    <mergeCell ref="M2:Q2"/>
    <mergeCell ref="R2:T2"/>
    <mergeCell ref="U2:V2"/>
    <mergeCell ref="AB2:AC2"/>
    <mergeCell ref="A2:H2"/>
    <mergeCell ref="AD2"/>
    <mergeCell ref="I2:L2"/>
    <mergeCell ref="A1:A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35" customWidth="1" min="3" max="3"/>
    <col width="18" customWidth="1" min="4" max="4"/>
    <col width="20" customWidth="1" min="5" max="5"/>
  </cols>
  <sheetData>
    <row r="1" ht="28" customHeight="1">
      <c r="B1" s="1" t="inlineStr">
        <is>
          <t>RESUMEN DE COSTOS POR IE</t>
        </is>
      </c>
    </row>
    <row r="3">
      <c r="B3" s="2" t="inlineStr">
        <is>
          <t>RESUMEN POR INSTITUCIÓN EDUCATIVA</t>
        </is>
      </c>
    </row>
    <row r="4">
      <c r="B4" s="3" t="inlineStr">
        <is>
          <t>IE Código</t>
        </is>
      </c>
      <c r="C4" s="3" t="inlineStr">
        <is>
          <t>IE Nombre</t>
        </is>
      </c>
      <c r="D4" s="3" t="inlineStr">
        <is>
          <t>Grupo</t>
        </is>
      </c>
      <c r="E4" s="3" t="inlineStr">
        <is>
          <t>TOTAL S/.</t>
        </is>
      </c>
    </row>
    <row r="5">
      <c r="B5" s="7" t="inlineStr">
        <is>
          <t>IE1</t>
        </is>
      </c>
      <c r="C5" s="7" t="inlineStr">
        <is>
          <t>16449 Eloy Soberón Flores</t>
        </is>
      </c>
      <c r="D5" s="7" t="inlineStr">
        <is>
          <t>C</t>
        </is>
      </c>
      <c r="E5" s="20">
        <f>SUMIF('DETALLE M4'!$D$4:$D$24,B5,'DETALLE M4'!$AD$4:$AD$24)</f>
        <v/>
      </c>
    </row>
    <row r="6">
      <c r="B6" s="8" t="inlineStr">
        <is>
          <t>IE2</t>
        </is>
      </c>
      <c r="C6" s="8" t="inlineStr">
        <is>
          <t>2026 Simón Bolívar</t>
        </is>
      </c>
      <c r="D6" s="8" t="inlineStr">
        <is>
          <t>A</t>
        </is>
      </c>
      <c r="E6" s="21">
        <f>SUMIF('DETALLE M4'!$D$4:$D$24,B6,'DETALLE M4'!$AD$4:$AD$24)</f>
        <v/>
      </c>
    </row>
    <row r="7">
      <c r="B7" s="7" t="inlineStr">
        <is>
          <t>IE3</t>
        </is>
      </c>
      <c r="C7" s="7" t="inlineStr">
        <is>
          <t>6049 Ricardo Palma</t>
        </is>
      </c>
      <c r="D7" s="7" t="inlineStr">
        <is>
          <t>A</t>
        </is>
      </c>
      <c r="E7" s="20">
        <f>SUMIF('DETALLE M4'!$D$4:$D$24,B7,'DETALLE M4'!$AD$4:$AD$24)</f>
        <v/>
      </c>
    </row>
    <row r="8">
      <c r="B8" s="8" t="inlineStr">
        <is>
          <t>IE4</t>
        </is>
      </c>
      <c r="C8" s="8" t="inlineStr">
        <is>
          <t>Francisco Irazola</t>
        </is>
      </c>
      <c r="D8" s="8" t="inlineStr">
        <is>
          <t>C</t>
        </is>
      </c>
      <c r="E8" s="21">
        <f>SUMIF('DETALLE M4'!$D$4:$D$24,B8,'DETALLE M4'!$AD$4:$AD$24)</f>
        <v/>
      </c>
    </row>
    <row r="9">
      <c r="B9" s="7" t="inlineStr">
        <is>
          <t>IE5</t>
        </is>
      </c>
      <c r="C9" s="7" t="inlineStr">
        <is>
          <t>Guillermo E. Billinghurst</t>
        </is>
      </c>
      <c r="D9" s="7" t="inlineStr">
        <is>
          <t>B</t>
        </is>
      </c>
      <c r="E9" s="20">
        <f>SUMIF('DETALLE M4'!$D$4:$D$24,B9,'DETALLE M4'!$AD$4:$AD$24)</f>
        <v/>
      </c>
    </row>
    <row r="10">
      <c r="B10" s="8" t="inlineStr">
        <is>
          <t>IE6</t>
        </is>
      </c>
      <c r="C10" s="8" t="inlineStr">
        <is>
          <t>José Granda</t>
        </is>
      </c>
      <c r="D10" s="8" t="inlineStr">
        <is>
          <t>A</t>
        </is>
      </c>
      <c r="E10" s="21">
        <f>SUMIF('DETALLE M4'!$D$4:$D$24,B10,'DETALLE M4'!$AD$4:$AD$24)</f>
        <v/>
      </c>
    </row>
    <row r="11">
      <c r="B11" s="7" t="inlineStr">
        <is>
          <t>IE7</t>
        </is>
      </c>
      <c r="C11" s="7" t="inlineStr">
        <is>
          <t>Manuel A. Mesones Muro</t>
        </is>
      </c>
      <c r="D11" s="7" t="inlineStr">
        <is>
          <t>C</t>
        </is>
      </c>
      <c r="E11" s="20">
        <f>SUMIF('DETALLE M4'!$D$4:$D$24,B11,'DETALLE M4'!$AD$4:$AD$24)</f>
        <v/>
      </c>
    </row>
    <row r="12">
      <c r="B12" s="17" t="inlineStr">
        <is>
          <t>TOTAL</t>
        </is>
      </c>
      <c r="C12" s="18" t="n"/>
      <c r="D12" s="18" t="n"/>
      <c r="E12" s="19">
        <f>SUM(E5:E11)</f>
        <v/>
      </c>
    </row>
  </sheetData>
  <mergeCells count="2">
    <mergeCell ref="B1:E1"/>
    <mergeCell ref="B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D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2" customWidth="1" min="3" max="3"/>
    <col width="20" customWidth="1" min="4" max="4"/>
  </cols>
  <sheetData>
    <row r="1" ht="28" customHeight="1">
      <c r="B1" s="1" t="inlineStr">
        <is>
          <t>RESUMEN DE COSTOS POR ESPECIALIDAD</t>
        </is>
      </c>
    </row>
    <row r="3">
      <c r="B3" s="2" t="inlineStr">
        <is>
          <t>RESUMEN POR ESPECIALIDAD</t>
        </is>
      </c>
    </row>
    <row r="4">
      <c r="B4" s="3" t="inlineStr">
        <is>
          <t>Especialidad</t>
        </is>
      </c>
      <c r="C4" s="3" t="inlineStr">
        <is>
          <t># Talleres</t>
        </is>
      </c>
      <c r="D4" s="3" t="inlineStr">
        <is>
          <t>TOTAL S/.</t>
        </is>
      </c>
    </row>
    <row r="5">
      <c r="B5" s="7" t="inlineStr">
        <is>
          <t>Cocina y Repostería</t>
        </is>
      </c>
      <c r="C5" s="22" t="n">
        <v>1</v>
      </c>
      <c r="D5" s="20">
        <f>SUMIF('DETALLE M4'!$G$4:$G$24,B5,'DETALLE M4'!$AD$4:$AD$24)</f>
        <v/>
      </c>
    </row>
    <row r="6">
      <c r="B6" s="8" t="inlineStr">
        <is>
          <t>Computación e Informática</t>
        </is>
      </c>
      <c r="C6" s="23" t="n">
        <v>4</v>
      </c>
      <c r="D6" s="21">
        <f>SUMIF('DETALLE M4'!$G$4:$G$24,B6,'DETALLE M4'!$AD$4:$AD$24)</f>
        <v/>
      </c>
    </row>
    <row r="7">
      <c r="B7" s="7" t="inlineStr">
        <is>
          <t>Construcciones Metálicas</t>
        </is>
      </c>
      <c r="C7" s="22" t="n">
        <v>1</v>
      </c>
      <c r="D7" s="20">
        <f>SUMIF('DETALLE M4'!$G$4:$G$24,B7,'DETALLE M4'!$AD$4:$AD$24)</f>
        <v/>
      </c>
    </row>
    <row r="8">
      <c r="B8" s="8" t="inlineStr">
        <is>
          <t>Ebanistería</t>
        </is>
      </c>
      <c r="C8" s="23" t="n">
        <v>2</v>
      </c>
      <c r="D8" s="21">
        <f>SUMIF('DETALLE M4'!$G$4:$G$24,B8,'DETALLE M4'!$AD$4:$AD$24)</f>
        <v/>
      </c>
    </row>
    <row r="9">
      <c r="B9" s="7" t="inlineStr">
        <is>
          <t>Electricidad</t>
        </is>
      </c>
      <c r="C9" s="22" t="n">
        <v>3</v>
      </c>
      <c r="D9" s="20">
        <f>SUMIF('DETALLE M4'!$G$4:$G$24,B9,'DETALLE M4'!$AD$4:$AD$24)</f>
        <v/>
      </c>
    </row>
    <row r="10">
      <c r="B10" s="8" t="inlineStr">
        <is>
          <t>Electrónica</t>
        </is>
      </c>
      <c r="C10" s="23" t="n">
        <v>1</v>
      </c>
      <c r="D10" s="21">
        <f>SUMIF('DETALLE M4'!$G$4:$G$24,B10,'DETALLE M4'!$AD$4:$AD$24)</f>
        <v/>
      </c>
    </row>
    <row r="11">
      <c r="B11" s="7" t="inlineStr">
        <is>
          <t>Industria Alimentaria</t>
        </is>
      </c>
      <c r="C11" s="22" t="n">
        <v>4</v>
      </c>
      <c r="D11" s="20">
        <f>SUMIF('DETALLE M4'!$G$4:$G$24,B11,'DETALLE M4'!$AD$4:$AD$24)</f>
        <v/>
      </c>
    </row>
    <row r="12">
      <c r="B12" s="8" t="inlineStr">
        <is>
          <t>Industria del Vestido</t>
        </is>
      </c>
      <c r="C12" s="23" t="n">
        <v>2</v>
      </c>
      <c r="D12" s="21">
        <f>SUMIF('DETALLE M4'!$G$4:$G$24,B12,'DETALLE M4'!$AD$4:$AD$24)</f>
        <v/>
      </c>
    </row>
    <row r="13">
      <c r="B13" s="7" t="inlineStr">
        <is>
          <t>Mecánica Automotriz</t>
        </is>
      </c>
      <c r="C13" s="22" t="n">
        <v>3</v>
      </c>
      <c r="D13" s="20">
        <f>SUMIF('DETALLE M4'!$G$4:$G$24,B13,'DETALLE M4'!$AD$4:$AD$24)</f>
        <v/>
      </c>
    </row>
    <row r="14">
      <c r="B14" s="17" t="inlineStr">
        <is>
          <t>TOTAL</t>
        </is>
      </c>
      <c r="C14" s="17">
        <f>SUM(C5:C13)</f>
        <v/>
      </c>
      <c r="D14" s="19">
        <f>SUM(D5:D13)</f>
        <v/>
      </c>
    </row>
  </sheetData>
  <mergeCells count="2">
    <mergeCell ref="B1:D1"/>
    <mergeCell ref="B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2026-04-07T21:13:08Z</dcterms:created>
  <dcterms:modified xsi:type="dcterms:W3CDTF">2026-04-07T21:47:16Z</dcterms:modified>
</cp:coreProperties>
</file>